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emre.sari\Desktop\Takas Analiz Dökümanları\OCEAN 2.0\Clearing Report (Bankalara Takası Anlamaları için çıkılacak dosya)\Clearing Report Version\"/>
    </mc:Choice>
  </mc:AlternateContent>
  <xr:revisionPtr revIDLastSave="0" documentId="13_ncr:1_{0217936B-78E1-4523-A242-333D6E051B17}" xr6:coauthVersionLast="47" xr6:coauthVersionMax="47" xr10:uidLastSave="{00000000-0000-0000-0000-000000000000}"/>
  <bookViews>
    <workbookView xWindow="-120" yWindow="-120" windowWidth="29040" windowHeight="15840" xr2:uid="{911F90C3-44BA-452B-950A-77636B09F532}"/>
  </bookViews>
  <sheets>
    <sheet name="ReleaseNotes" sheetId="10" r:id="rId1"/>
    <sheet name="BKM" sheetId="9" r:id="rId2"/>
    <sheet name="MSC" sheetId="5" r:id="rId3"/>
    <sheet name="VISA"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9" l="1"/>
  <c r="B10" i="9" s="1"/>
  <c r="B11" i="9" s="1"/>
  <c r="B12" i="9" s="1"/>
  <c r="B13" i="9" s="1"/>
  <c r="B14" i="9" s="1"/>
  <c r="B18" i="9" s="1"/>
  <c r="B19" i="9" s="1"/>
  <c r="B20" i="9" s="1"/>
  <c r="B21" i="9" s="1"/>
  <c r="B22" i="9" s="1"/>
  <c r="B23" i="9" s="1"/>
  <c r="B24" i="9" s="1"/>
  <c r="B25" i="9" s="1"/>
  <c r="B26" i="9" s="1"/>
  <c r="B27" i="9" s="1"/>
  <c r="B28" i="9" s="1"/>
  <c r="B29" i="9" s="1"/>
  <c r="B30" i="9" s="1"/>
  <c r="B31" i="9" s="1"/>
  <c r="B32" i="9" s="1"/>
  <c r="B33" i="9" s="1"/>
  <c r="B34" i="9" s="1"/>
  <c r="B35" i="9" s="1"/>
  <c r="B36" i="9" s="1"/>
  <c r="B9" i="8"/>
  <c r="B10" i="8" s="1"/>
  <c r="B11" i="8" s="1"/>
  <c r="B12" i="8" s="1"/>
  <c r="B13" i="8" s="1"/>
  <c r="B14" i="8" s="1"/>
  <c r="B18" i="8" s="1"/>
  <c r="B19" i="8" s="1"/>
  <c r="B20" i="8" s="1"/>
  <c r="B21" i="8" s="1"/>
  <c r="B22" i="8" s="1"/>
  <c r="B23" i="8" s="1"/>
  <c r="B24" i="8" s="1"/>
  <c r="B25" i="8" s="1"/>
  <c r="B26" i="8" s="1"/>
  <c r="B27" i="8" s="1"/>
  <c r="B28" i="8" s="1"/>
  <c r="B29" i="8" s="1"/>
  <c r="B30" i="8" s="1"/>
  <c r="B31" i="8" s="1"/>
  <c r="B32" i="8" s="1"/>
  <c r="B33" i="8" s="1"/>
  <c r="B34" i="8" s="1"/>
  <c r="B35" i="8" s="1"/>
  <c r="B10" i="5"/>
  <c r="B11" i="5" s="1"/>
  <c r="B12" i="5" s="1"/>
  <c r="B13" i="5" s="1"/>
  <c r="B14"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alcChain>
</file>

<file path=xl/sharedStrings.xml><?xml version="1.0" encoding="utf-8"?>
<sst xmlns="http://schemas.openxmlformats.org/spreadsheetml/2006/main" count="525" uniqueCount="132">
  <si>
    <t>FIELD NAME</t>
  </si>
  <si>
    <t>START</t>
  </si>
  <si>
    <t>LENGTH</t>
  </si>
  <si>
    <t>TYPE</t>
  </si>
  <si>
    <t>FORMAT</t>
  </si>
  <si>
    <t>EXPLANATION</t>
  </si>
  <si>
    <t>HEADER</t>
  </si>
  <si>
    <t>STRING</t>
  </si>
  <si>
    <t>H</t>
  </si>
  <si>
    <t>MC</t>
  </si>
  <si>
    <t>YYYYMMDD</t>
  </si>
  <si>
    <t>FILE DATE</t>
  </si>
  <si>
    <t>FILE NUMBER</t>
  </si>
  <si>
    <t>DETAILS</t>
  </si>
  <si>
    <t>CLR_NO</t>
  </si>
  <si>
    <t>NUMBER</t>
  </si>
  <si>
    <t>MTID</t>
  </si>
  <si>
    <t>Processing Code is a series of digits that describe the effect of a transaction on a customer account and the type of accounts affected. It is used common for BKM and MSC processing codes.</t>
  </si>
  <si>
    <t>ARN</t>
  </si>
  <si>
    <t>RRN</t>
  </si>
  <si>
    <t>Clearing data reversal indicator.</t>
  </si>
  <si>
    <t>Merchant Category Code(MCC) 6010,6011 ...</t>
  </si>
  <si>
    <t xml:space="preserve"> 2 digit Ancillary Transaction Code (There are 23 ancillary transaction types in total, on one original transaction there can be only maximum 6 transactions.)  Ancillary Transactions are Used for details of expenses in airlines CLR_Addendum tag</t>
  </si>
  <si>
    <t>Ancillary transaction amount at the same exchange rate as the original transaction amount,  Ancillary Transactions are Used for details of expenses in airlines CLR_Addendum Value</t>
  </si>
  <si>
    <t>Cashback Amount</t>
  </si>
  <si>
    <t>FOOTER</t>
  </si>
  <si>
    <t>F</t>
  </si>
  <si>
    <t>HEADER CODE</t>
  </si>
  <si>
    <t>TOTAL TRANSACTION COUNT</t>
  </si>
  <si>
    <t>TC</t>
  </si>
  <si>
    <t>Transaction code.05=Purchase,15=Charge-back...</t>
  </si>
  <si>
    <t>It is the usage code associated with the Transaction Code(TC) information.Indicates whether the transaction is the first or second notification.</t>
  </si>
  <si>
    <t>Message Type Id.200 = Purchase,700 = Fee ... It is used common for MC MTIDs.</t>
  </si>
  <si>
    <t>MC dokümanı referans verilecek</t>
  </si>
  <si>
    <t>ZERO TO LEFT</t>
  </si>
  <si>
    <r>
      <t xml:space="preserve">Clearing transaction type. 
</t>
    </r>
    <r>
      <rPr>
        <b/>
        <sz val="11"/>
        <color theme="1"/>
        <rFont val="Calibri"/>
        <family val="2"/>
        <scheme val="minor"/>
      </rPr>
      <t>I</t>
    </r>
    <r>
      <rPr>
        <sz val="11"/>
        <color theme="1"/>
        <rFont val="Calibri"/>
        <family val="2"/>
        <scheme val="minor"/>
      </rPr>
      <t xml:space="preserve">=Issuer, 
</t>
    </r>
    <r>
      <rPr>
        <b/>
        <sz val="11"/>
        <color theme="1"/>
        <rFont val="Calibri"/>
        <family val="2"/>
        <scheme val="minor"/>
      </rPr>
      <t>A</t>
    </r>
    <r>
      <rPr>
        <sz val="11"/>
        <color theme="1"/>
        <rFont val="Calibri"/>
        <family val="2"/>
        <scheme val="minor"/>
      </rPr>
      <t xml:space="preserve">=Acquirer, 
</t>
    </r>
    <r>
      <rPr>
        <b/>
        <sz val="11"/>
        <color theme="1"/>
        <rFont val="Calibri"/>
        <family val="2"/>
        <scheme val="minor"/>
      </rPr>
      <t>D</t>
    </r>
    <r>
      <rPr>
        <sz val="11"/>
        <color theme="1"/>
        <rFont val="Calibri"/>
        <family val="2"/>
        <scheme val="minor"/>
      </rPr>
      <t xml:space="preserve">=Document,
</t>
    </r>
    <r>
      <rPr>
        <b/>
        <sz val="11"/>
        <color theme="1"/>
        <rFont val="Calibri"/>
        <family val="2"/>
        <scheme val="minor"/>
      </rPr>
      <t>F</t>
    </r>
    <r>
      <rPr>
        <sz val="11"/>
        <color theme="1"/>
        <rFont val="Calibri"/>
        <family val="2"/>
        <scheme val="minor"/>
      </rPr>
      <t xml:space="preserve">=Fee , 
</t>
    </r>
    <r>
      <rPr>
        <b/>
        <sz val="11"/>
        <color theme="1"/>
        <rFont val="Calibri"/>
        <family val="2"/>
        <scheme val="minor"/>
      </rPr>
      <t>R</t>
    </r>
    <r>
      <rPr>
        <sz val="11"/>
        <color theme="1"/>
        <rFont val="Calibri"/>
        <family val="2"/>
        <scheme val="minor"/>
      </rPr>
      <t>=Fraud</t>
    </r>
  </si>
  <si>
    <t>Ocean Clearing Number. (Unique for each Clearing Transaction)</t>
  </si>
  <si>
    <r>
      <t xml:space="preserve">Clearing File Process Type ;  
</t>
    </r>
    <r>
      <rPr>
        <b/>
        <sz val="11"/>
        <color theme="1"/>
        <rFont val="Calibri"/>
        <family val="2"/>
        <scheme val="minor"/>
      </rPr>
      <t xml:space="preserve"> I </t>
    </r>
    <r>
      <rPr>
        <sz val="11"/>
        <color theme="1"/>
        <rFont val="Calibri"/>
        <family val="2"/>
        <scheme val="minor"/>
      </rPr>
      <t xml:space="preserve">  : Incoming File 
</t>
    </r>
    <r>
      <rPr>
        <b/>
        <sz val="11"/>
        <color theme="1"/>
        <rFont val="Calibri"/>
        <family val="2"/>
        <scheme val="minor"/>
      </rPr>
      <t>O</t>
    </r>
    <r>
      <rPr>
        <sz val="11"/>
        <color theme="1"/>
        <rFont val="Calibri"/>
        <family val="2"/>
        <scheme val="minor"/>
      </rPr>
      <t xml:space="preserve">  : Outgoing File </t>
    </r>
  </si>
  <si>
    <t>Retrieval Reference Number is a transaction information document reference number the card acceptor’s or designated agent’s system supplies. [F37]</t>
  </si>
  <si>
    <t>Authorization Provision Code of transaction record. [F38]</t>
  </si>
  <si>
    <r>
      <t xml:space="preserve">Card Type indicator :
</t>
    </r>
    <r>
      <rPr>
        <b/>
        <sz val="11"/>
        <color theme="1"/>
        <rFont val="Calibri"/>
        <family val="2"/>
        <scheme val="minor"/>
      </rPr>
      <t>D</t>
    </r>
    <r>
      <rPr>
        <sz val="11"/>
        <color theme="1"/>
        <rFont val="Calibri"/>
        <family val="2"/>
        <scheme val="minor"/>
      </rPr>
      <t xml:space="preserve">:  Debit 
</t>
    </r>
    <r>
      <rPr>
        <b/>
        <sz val="11"/>
        <color theme="1"/>
        <rFont val="Calibri"/>
        <family val="2"/>
        <scheme val="minor"/>
      </rPr>
      <t>P</t>
    </r>
    <r>
      <rPr>
        <sz val="11"/>
        <color theme="1"/>
        <rFont val="Calibri"/>
        <family val="2"/>
        <scheme val="minor"/>
      </rPr>
      <t xml:space="preserve"> : Prepaid 
</t>
    </r>
    <r>
      <rPr>
        <b/>
        <sz val="11"/>
        <color theme="1"/>
        <rFont val="Calibri"/>
        <family val="2"/>
        <scheme val="minor"/>
      </rPr>
      <t>C</t>
    </r>
    <r>
      <rPr>
        <sz val="11"/>
        <color theme="1"/>
        <rFont val="Calibri"/>
        <family val="2"/>
        <scheme val="minor"/>
      </rPr>
      <t xml:space="preserve">:  Credit
</t>
    </r>
    <r>
      <rPr>
        <i/>
        <sz val="11"/>
        <color theme="1"/>
        <rFont val="Calibri"/>
        <family val="2"/>
        <scheme val="minor"/>
      </rPr>
      <t>This field will be null for Acquired Transactions</t>
    </r>
    <r>
      <rPr>
        <sz val="11"/>
        <color theme="1"/>
        <rFont val="Calibri"/>
        <family val="2"/>
        <scheme val="minor"/>
      </rPr>
      <t xml:space="preserve"> </t>
    </r>
  </si>
  <si>
    <r>
      <t xml:space="preserve">Using for Dispute Options on Chargeback operations in Ocean;  </t>
    </r>
    <r>
      <rPr>
        <b/>
        <sz val="11"/>
        <color theme="1"/>
        <rFont val="Calibri"/>
        <family val="2"/>
        <scheme val="minor"/>
      </rPr>
      <t xml:space="preserve">
H</t>
    </r>
    <r>
      <rPr>
        <sz val="11"/>
        <color theme="1"/>
        <rFont val="Calibri"/>
        <family val="2"/>
        <scheme val="minor"/>
      </rPr>
      <t xml:space="preserve">	:	FEE - REP CLOSING
</t>
    </r>
    <r>
      <rPr>
        <b/>
        <sz val="11"/>
        <color theme="1"/>
        <rFont val="Calibri"/>
        <family val="2"/>
        <scheme val="minor"/>
      </rPr>
      <t>M</t>
    </r>
    <r>
      <rPr>
        <sz val="11"/>
        <color theme="1"/>
        <rFont val="Calibri"/>
        <family val="2"/>
        <scheme val="minor"/>
      </rPr>
      <t xml:space="preserve">	:	OUT CB-CARDHOLDER CREDIT
</t>
    </r>
    <r>
      <rPr>
        <b/>
        <sz val="11"/>
        <color theme="1"/>
        <rFont val="Calibri"/>
        <family val="2"/>
        <scheme val="minor"/>
      </rPr>
      <t>U</t>
    </r>
    <r>
      <rPr>
        <sz val="11"/>
        <color theme="1"/>
        <rFont val="Calibri"/>
        <family val="2"/>
        <scheme val="minor"/>
      </rPr>
      <t xml:space="preserve">	:	MERCHANT CB-CARDHOLDER CREDIT
</t>
    </r>
    <r>
      <rPr>
        <b/>
        <sz val="11"/>
        <color theme="1"/>
        <rFont val="Calibri"/>
        <family val="2"/>
        <scheme val="minor"/>
      </rPr>
      <t>B</t>
    </r>
    <r>
      <rPr>
        <sz val="11"/>
        <color theme="1"/>
        <rFont val="Calibri"/>
        <family val="2"/>
        <scheme val="minor"/>
      </rPr>
      <t xml:space="preserve">	:	LOSS
</t>
    </r>
    <r>
      <rPr>
        <b/>
        <sz val="11"/>
        <color theme="1"/>
        <rFont val="Calibri"/>
        <family val="2"/>
        <scheme val="minor"/>
      </rPr>
      <t>E</t>
    </r>
    <r>
      <rPr>
        <sz val="11"/>
        <color theme="1"/>
        <rFont val="Calibri"/>
        <family val="2"/>
        <scheme val="minor"/>
      </rPr>
      <t xml:space="preserve">	:	ACCOUNTING CURE
</t>
    </r>
    <r>
      <rPr>
        <b/>
        <sz val="11"/>
        <color theme="1"/>
        <rFont val="Calibri"/>
        <family val="2"/>
        <scheme val="minor"/>
      </rPr>
      <t>C</t>
    </r>
    <r>
      <rPr>
        <sz val="11"/>
        <color theme="1"/>
        <rFont val="Calibri"/>
        <family val="2"/>
        <scheme val="minor"/>
      </rPr>
      <t xml:space="preserve">	:	REP - CARDHOLDER CURE
</t>
    </r>
    <r>
      <rPr>
        <b/>
        <sz val="11"/>
        <color theme="1"/>
        <rFont val="Calibri"/>
        <family val="2"/>
        <scheme val="minor"/>
      </rPr>
      <t>G</t>
    </r>
    <r>
      <rPr>
        <sz val="11"/>
        <color theme="1"/>
        <rFont val="Calibri"/>
        <family val="2"/>
        <scheme val="minor"/>
      </rPr>
      <t xml:space="preserve">	:	OUT CB - TEMPORARY ACCOUNT
</t>
    </r>
    <r>
      <rPr>
        <b/>
        <sz val="11"/>
        <color theme="1"/>
        <rFont val="Calibri"/>
        <family val="2"/>
        <scheme val="minor"/>
      </rPr>
      <t>F</t>
    </r>
    <r>
      <rPr>
        <sz val="11"/>
        <color theme="1"/>
        <rFont val="Calibri"/>
        <family val="2"/>
        <scheme val="minor"/>
      </rPr>
      <t xml:space="preserve">	:	MERCHANT CB - TEMPORARY ACCOUNT
</t>
    </r>
    <r>
      <rPr>
        <b/>
        <sz val="11"/>
        <color theme="1"/>
        <rFont val="Calibri"/>
        <family val="2"/>
        <scheme val="minor"/>
      </rPr>
      <t>Z</t>
    </r>
    <r>
      <rPr>
        <sz val="11"/>
        <color theme="1"/>
        <rFont val="Calibri"/>
        <family val="2"/>
        <scheme val="minor"/>
      </rPr>
      <t xml:space="preserve">	:	EXPIRY DIFFERENCE ACCOUNTING CURE
</t>
    </r>
    <r>
      <rPr>
        <b/>
        <sz val="11"/>
        <color theme="1"/>
        <rFont val="Calibri"/>
        <family val="2"/>
        <scheme val="minor"/>
      </rPr>
      <t>-</t>
    </r>
    <r>
      <rPr>
        <sz val="11"/>
        <color theme="1"/>
        <rFont val="Calibri"/>
        <family val="2"/>
        <scheme val="minor"/>
      </rPr>
      <t xml:space="preserve">	:	NONE
</t>
    </r>
    <r>
      <rPr>
        <b/>
        <sz val="11"/>
        <color theme="1"/>
        <rFont val="Calibri"/>
        <family val="2"/>
        <scheme val="minor"/>
      </rPr>
      <t>X</t>
    </r>
    <r>
      <rPr>
        <sz val="11"/>
        <color theme="1"/>
        <rFont val="Calibri"/>
        <family val="2"/>
        <scheme val="minor"/>
      </rPr>
      <t xml:space="preserve">	:	FRAUD GEÇİCİ HESAP
</t>
    </r>
    <r>
      <rPr>
        <b/>
        <sz val="11"/>
        <color theme="1"/>
        <rFont val="Calibri"/>
        <family val="2"/>
        <scheme val="minor"/>
      </rPr>
      <t>Y</t>
    </r>
    <r>
      <rPr>
        <sz val="11"/>
        <color theme="1"/>
        <rFont val="Calibri"/>
        <family val="2"/>
        <scheme val="minor"/>
      </rPr>
      <t xml:space="preserve">	:	NEGATIVE EXCHANGE RATE DIFFERENCES
</t>
    </r>
    <r>
      <rPr>
        <b/>
        <sz val="11"/>
        <color theme="1"/>
        <rFont val="Calibri"/>
        <family val="2"/>
        <scheme val="minor"/>
      </rPr>
      <t>R</t>
    </r>
    <r>
      <rPr>
        <sz val="11"/>
        <color theme="1"/>
        <rFont val="Calibri"/>
        <family val="2"/>
        <scheme val="minor"/>
      </rPr>
      <t xml:space="preserve">	:	PLUS EXCHANGE RATE DIFFERENCES
</t>
    </r>
    <r>
      <rPr>
        <b/>
        <sz val="11"/>
        <color theme="1"/>
        <rFont val="Calibri"/>
        <family val="2"/>
        <scheme val="minor"/>
      </rPr>
      <t>A</t>
    </r>
    <r>
      <rPr>
        <sz val="11"/>
        <color theme="1"/>
        <rFont val="Calibri"/>
        <family val="2"/>
        <scheme val="minor"/>
      </rPr>
      <t xml:space="preserve">	:	OPEN MERCHANT ACCOUNTING
</t>
    </r>
    <r>
      <rPr>
        <b/>
        <sz val="11"/>
        <color theme="1"/>
        <rFont val="Calibri"/>
        <family val="2"/>
        <scheme val="minor"/>
      </rPr>
      <t>S</t>
    </r>
    <r>
      <rPr>
        <sz val="11"/>
        <color theme="1"/>
        <rFont val="Calibri"/>
        <family val="2"/>
        <scheme val="minor"/>
      </rPr>
      <t xml:space="preserve">	:	INSURANCE
</t>
    </r>
    <r>
      <rPr>
        <b/>
        <sz val="11"/>
        <color theme="1"/>
        <rFont val="Calibri"/>
        <family val="2"/>
        <scheme val="minor"/>
      </rPr>
      <t>T</t>
    </r>
    <r>
      <rPr>
        <sz val="11"/>
        <color theme="1"/>
        <rFont val="Calibri"/>
        <family val="2"/>
        <scheme val="minor"/>
      </rPr>
      <t xml:space="preserve">	:	REJECTED EXPENSE / SECURITY
</t>
    </r>
    <r>
      <rPr>
        <b/>
        <sz val="11"/>
        <color theme="1"/>
        <rFont val="Calibri"/>
        <family val="2"/>
        <scheme val="minor"/>
      </rPr>
      <t>J</t>
    </r>
    <r>
      <rPr>
        <sz val="11"/>
        <color theme="1"/>
        <rFont val="Calibri"/>
        <family val="2"/>
        <scheme val="minor"/>
      </rPr>
      <t xml:space="preserve">	:	PURCHASING ISSURANCE
</t>
    </r>
    <r>
      <rPr>
        <b/>
        <sz val="11"/>
        <color theme="1"/>
        <rFont val="Calibri"/>
        <family val="2"/>
        <scheme val="minor"/>
      </rPr>
      <t>I</t>
    </r>
    <r>
      <rPr>
        <sz val="11"/>
        <color theme="1"/>
        <rFont val="Calibri"/>
        <family val="2"/>
        <scheme val="minor"/>
      </rPr>
      <t xml:space="preserve">	:	ACCEPTED LOSS
</t>
    </r>
    <r>
      <rPr>
        <b/>
        <sz val="11"/>
        <color theme="1"/>
        <rFont val="Calibri"/>
        <family val="2"/>
        <scheme val="minor"/>
      </rPr>
      <t>D</t>
    </r>
    <r>
      <rPr>
        <sz val="11"/>
        <color theme="1"/>
        <rFont val="Calibri"/>
        <family val="2"/>
        <scheme val="minor"/>
      </rPr>
      <t xml:space="preserve">	:	FRAUD COMMISION
</t>
    </r>
    <r>
      <rPr>
        <b/>
        <sz val="11"/>
        <color theme="1"/>
        <rFont val="Calibri"/>
        <family val="2"/>
        <scheme val="minor"/>
      </rPr>
      <t xml:space="preserve">V	</t>
    </r>
    <r>
      <rPr>
        <sz val="11"/>
        <color theme="1"/>
        <rFont val="Calibri"/>
        <family val="2"/>
        <scheme val="minor"/>
      </rPr>
      <t xml:space="preserve">:	ACCEPTED LOSS / SECURITY
</t>
    </r>
    <r>
      <rPr>
        <b/>
        <sz val="11"/>
        <color theme="1"/>
        <rFont val="Calibri"/>
        <family val="2"/>
        <scheme val="minor"/>
      </rPr>
      <t>P</t>
    </r>
    <r>
      <rPr>
        <sz val="11"/>
        <color theme="1"/>
        <rFont val="Calibri"/>
        <family val="2"/>
        <scheme val="minor"/>
      </rPr>
      <t xml:space="preserve">	:	FRAUD TEMPORARILY
</t>
    </r>
    <r>
      <rPr>
        <b/>
        <sz val="11"/>
        <color theme="1"/>
        <rFont val="Calibri"/>
        <family val="2"/>
        <scheme val="minor"/>
      </rPr>
      <t>N</t>
    </r>
    <r>
      <rPr>
        <sz val="11"/>
        <color theme="1"/>
        <rFont val="Calibri"/>
        <family val="2"/>
        <scheme val="minor"/>
      </rPr>
      <t xml:space="preserve">	:	OUT CB WITH FEE-CH CHARGE
</t>
    </r>
    <r>
      <rPr>
        <b/>
        <sz val="11"/>
        <color theme="1"/>
        <rFont val="Calibri"/>
        <family val="2"/>
        <scheme val="minor"/>
      </rPr>
      <t>L</t>
    </r>
    <r>
      <rPr>
        <sz val="11"/>
        <color theme="1"/>
        <rFont val="Calibri"/>
        <family val="2"/>
        <scheme val="minor"/>
      </rPr>
      <t xml:space="preserve">	:	OUT CB - CB FEE WITH SUSPENSE ACCOUNT
</t>
    </r>
  </si>
  <si>
    <t>Tokenized card number</t>
  </si>
  <si>
    <t>Function Code indicates a message’s specific purpose. It is used common for MSC function codes.</t>
  </si>
  <si>
    <t>Reimbursement Attribute Code on Clearing Transaction</t>
  </si>
  <si>
    <t>Acquirer Reference Data is data an acquirer supplies in an acquirer-originated message that may be required for an issuer to return to the acquirer in a subsequent message. [F31]</t>
  </si>
  <si>
    <t>Merchant Category Code(MCC) 6010,6011 … [F18]</t>
  </si>
  <si>
    <t>Processing Code is a series of digits that describe the effect of a transaction on a customer account and the type of accounts effected. It is used common for BKM processing codes.</t>
  </si>
  <si>
    <r>
      <t xml:space="preserve">The number that bank creates to make accounting in clearing transactions. 
</t>
    </r>
    <r>
      <rPr>
        <i/>
        <sz val="11"/>
        <color theme="1"/>
        <rFont val="Calibri"/>
        <family val="2"/>
        <scheme val="minor"/>
      </rPr>
      <t>This field will be null for members that do not use this number in their process.</t>
    </r>
  </si>
  <si>
    <t>Acquirer Reference Data is data an acquirer supplies in an acquirer-originated message that may be required for an issuer to return to the acquirer in a subsequent message.[F31]</t>
  </si>
  <si>
    <t>"I/O Flag" field should be checked,  If it is "I"  Incoming date will be written , if it is  "O"  Outgoing date will be written.</t>
  </si>
  <si>
    <t>OceanTxnGuid</t>
  </si>
  <si>
    <t>TxnType</t>
  </si>
  <si>
    <t>I/ODate</t>
  </si>
  <si>
    <t>I/OFlag</t>
  </si>
  <si>
    <t>ClrNo</t>
  </si>
  <si>
    <t>Rrn</t>
  </si>
  <si>
    <t>Arn</t>
  </si>
  <si>
    <t>ProvisionCode</t>
  </si>
  <si>
    <t>CardNo</t>
  </si>
  <si>
    <t>CardDCI</t>
  </si>
  <si>
    <t>MCCCode</t>
  </si>
  <si>
    <t>Mtid</t>
  </si>
  <si>
    <t>FunctionCode</t>
  </si>
  <si>
    <t>ProcessCode</t>
  </si>
  <si>
    <t>DisputeCode</t>
  </si>
  <si>
    <t>ControlStat</t>
  </si>
  <si>
    <t>SourceCurrency</t>
  </si>
  <si>
    <t>SourceAmount</t>
  </si>
  <si>
    <t>DestinationAmount</t>
  </si>
  <si>
    <t>DestinationCurrency</t>
  </si>
  <si>
    <t>CashbackAmount</t>
  </si>
  <si>
    <t>MicrofilmNumber</t>
  </si>
  <si>
    <t>FileVersionNumber</t>
  </si>
  <si>
    <t>FileNo</t>
  </si>
  <si>
    <t>FileDate</t>
  </si>
  <si>
    <t>HeaderCode</t>
  </si>
  <si>
    <t>TxnCount</t>
  </si>
  <si>
    <t>TXNType</t>
  </si>
  <si>
    <t>ReversalIndicator</t>
  </si>
  <si>
    <t>AncillaryTransactionCode</t>
  </si>
  <si>
    <t>AncillaryTransactionAmount</t>
  </si>
  <si>
    <t>FooterCode</t>
  </si>
  <si>
    <t>UsageCode</t>
  </si>
  <si>
    <t>ReimbursementAmount</t>
  </si>
  <si>
    <t>ReimbursementAttribute</t>
  </si>
  <si>
    <t>Unique Ocean Transaction Guid (please look at the OceanTxnGuid in OCEAN.PROCESSING.REPORT.CARD_TRANSACTIONS File )</t>
  </si>
  <si>
    <t xml:space="preserve">Release Notes </t>
  </si>
  <si>
    <t>VersionNumber</t>
  </si>
  <si>
    <t>Date</t>
  </si>
  <si>
    <t>Explanation</t>
  </si>
  <si>
    <t>V001</t>
  </si>
  <si>
    <t>First Draft</t>
  </si>
  <si>
    <t>V002</t>
  </si>
  <si>
    <t>"OceanTxnGuid" field has added on start point 11 of record line for BKM,MSC,Visa …  
"TXN AMOUNT" field has removed from Footer …</t>
  </si>
  <si>
    <t>V003</t>
  </si>
  <si>
    <t>18/05/2021</t>
  </si>
  <si>
    <t>The problem on the 174th line in the Mastercard tab has been fixed.</t>
  </si>
  <si>
    <r>
      <t xml:space="preserve">Clearing transaction type. 
</t>
    </r>
    <r>
      <rPr>
        <b/>
        <sz val="11"/>
        <color theme="1"/>
        <rFont val="Calibri"/>
        <family val="2"/>
        <scheme val="minor"/>
      </rPr>
      <t>I</t>
    </r>
    <r>
      <rPr>
        <sz val="11"/>
        <color theme="1"/>
        <rFont val="Calibri"/>
        <family val="2"/>
        <scheme val="minor"/>
      </rPr>
      <t xml:space="preserve">=Issuer, 
</t>
    </r>
    <r>
      <rPr>
        <b/>
        <sz val="11"/>
        <color theme="1"/>
        <rFont val="Calibri"/>
        <family val="2"/>
        <scheme val="minor"/>
      </rPr>
      <t>A</t>
    </r>
    <r>
      <rPr>
        <sz val="11"/>
        <color theme="1"/>
        <rFont val="Calibri"/>
        <family val="2"/>
        <scheme val="minor"/>
      </rPr>
      <t xml:space="preserve">=Acquirer, 
</t>
    </r>
    <r>
      <rPr>
        <b/>
        <sz val="11"/>
        <color theme="1"/>
        <rFont val="Calibri"/>
        <family val="2"/>
        <scheme val="minor"/>
      </rPr>
      <t>D</t>
    </r>
    <r>
      <rPr>
        <sz val="11"/>
        <color theme="1"/>
        <rFont val="Calibri"/>
        <family val="2"/>
        <scheme val="minor"/>
      </rPr>
      <t xml:space="preserve">=Document,
</t>
    </r>
    <r>
      <rPr>
        <b/>
        <sz val="11"/>
        <color theme="1"/>
        <rFont val="Calibri"/>
        <family val="2"/>
        <scheme val="minor"/>
      </rPr>
      <t>F</t>
    </r>
    <r>
      <rPr>
        <sz val="11"/>
        <color theme="1"/>
        <rFont val="Calibri"/>
        <family val="2"/>
        <scheme val="minor"/>
      </rPr>
      <t xml:space="preserve">=Fee , 
</t>
    </r>
    <r>
      <rPr>
        <b/>
        <sz val="11"/>
        <color theme="1"/>
        <rFont val="Calibri"/>
        <family val="2"/>
        <scheme val="minor"/>
      </rPr>
      <t>R</t>
    </r>
    <r>
      <rPr>
        <sz val="11"/>
        <color theme="1"/>
        <rFont val="Calibri"/>
        <family val="2"/>
        <scheme val="minor"/>
      </rPr>
      <t xml:space="preserve">=Fraud,                                                                                                                                                                                                                          </t>
    </r>
    <r>
      <rPr>
        <b/>
        <sz val="11"/>
        <color theme="1"/>
        <rFont val="Calibri"/>
        <family val="2"/>
        <scheme val="minor"/>
      </rPr>
      <t>M=</t>
    </r>
    <r>
      <rPr>
        <sz val="11"/>
        <color theme="1"/>
        <rFont val="Calibri"/>
        <family val="2"/>
        <scheme val="minor"/>
      </rPr>
      <t>Service Fee</t>
    </r>
  </si>
  <si>
    <t>MerchantCity</t>
  </si>
  <si>
    <t>MerchantName</t>
  </si>
  <si>
    <t>The Member Office or The City Information of the Terminal is transmitted in this field.</t>
  </si>
  <si>
    <t>The Area Where The Name Of The Merchant Or ATM Where The Transaction Is Made</t>
  </si>
  <si>
    <t>CardAcceptorId</t>
  </si>
  <si>
    <t>Card Acceptor ID Card Acceptance Identifier Information That Operates The POS Terminal And Is Authorized By The Acquirer</t>
  </si>
  <si>
    <t>V004</t>
  </si>
  <si>
    <t>TxnDate</t>
  </si>
  <si>
    <t>Date Local Transaction, Is The Field Containing the Date Information Of The Transaction</t>
  </si>
  <si>
    <t>TxnTime</t>
  </si>
  <si>
    <t>Time Local Transaction, Is The Field Containing the Time Information Of The Transaction</t>
  </si>
  <si>
    <t>SPACE TO RIGHT</t>
  </si>
  <si>
    <t>Merchant City, Merchant Name, Card Acceptor Id fields are added to the end of MSC, VISA, BKM registration patterns.
The Type field of the Dispute Code converted from number to String.
Format of fields that are String has been updated to Right Space</t>
  </si>
  <si>
    <t>V005</t>
  </si>
  <si>
    <t>File Id field is added to the end of MSC, VISA, BKM registration models.</t>
  </si>
  <si>
    <t>FileId</t>
  </si>
  <si>
    <t>Created or uploaded file numeric id.</t>
  </si>
  <si>
    <t>Reserved</t>
  </si>
  <si>
    <r>
      <t xml:space="preserve">This status code using for the management of problematic clearing records (the records that cannot be posted on cards) in the incoming clearing file.
</t>
    </r>
    <r>
      <rPr>
        <b/>
        <sz val="11"/>
        <color theme="1"/>
        <rFont val="Calibri"/>
        <family val="2"/>
        <scheme val="minor"/>
      </rPr>
      <t>N</t>
    </r>
    <r>
      <rPr>
        <sz val="11"/>
        <color theme="1"/>
        <rFont val="Calibri"/>
        <family val="2"/>
        <scheme val="minor"/>
      </rPr>
      <t xml:space="preserve">--&gt;(Normal) :  The Clearing Transaction was succesfully posted to card  ,
</t>
    </r>
    <r>
      <rPr>
        <b/>
        <sz val="11"/>
        <color theme="1"/>
        <rFont val="Calibri"/>
        <family val="2"/>
        <scheme val="minor"/>
      </rPr>
      <t>P</t>
    </r>
    <r>
      <rPr>
        <sz val="11"/>
        <color theme="1"/>
        <rFont val="Calibri"/>
        <family val="2"/>
        <scheme val="minor"/>
      </rPr>
      <t xml:space="preserve"> --&gt;(Problem): The Clearing Transaction couldn't be  posted to card. It's waiting in Problematic Records 
</t>
    </r>
    <r>
      <rPr>
        <b/>
        <sz val="11"/>
        <color theme="1"/>
        <rFont val="Calibri"/>
        <family val="2"/>
        <scheme val="minor"/>
      </rPr>
      <t>D</t>
    </r>
    <r>
      <rPr>
        <sz val="11"/>
        <color theme="1"/>
        <rFont val="Calibri"/>
        <family val="2"/>
        <scheme val="minor"/>
      </rPr>
      <t xml:space="preserve">--&gt; Curred Transactions that make accounting closing for incoming Chargeback 
</t>
    </r>
    <r>
      <rPr>
        <b/>
        <sz val="11"/>
        <color theme="1"/>
        <rFont val="Calibri"/>
        <family val="2"/>
        <scheme val="minor"/>
      </rPr>
      <t xml:space="preserve">X </t>
    </r>
    <r>
      <rPr>
        <sz val="11"/>
        <color theme="1"/>
        <rFont val="Calibri"/>
        <family val="2"/>
        <scheme val="minor"/>
      </rPr>
      <t xml:space="preserve">--&gt;(Problem to Normal) :  The Clearing Transaction pending in problematic records was successfully posted to card.
</t>
    </r>
    <r>
      <rPr>
        <b/>
        <sz val="11"/>
        <color rgb="FFFF0000"/>
        <rFont val="Calibri"/>
        <family val="2"/>
        <scheme val="minor"/>
      </rPr>
      <t>Y</t>
    </r>
    <r>
      <rPr>
        <sz val="11"/>
        <color rgb="FFFF0000"/>
        <rFont val="Calibri"/>
        <family val="2"/>
        <scheme val="minor"/>
      </rPr>
      <t xml:space="preserve"> --&gt; Dispute End   </t>
    </r>
  </si>
  <si>
    <r>
      <t xml:space="preserve">Source Amount Transaction </t>
    </r>
    <r>
      <rPr>
        <sz val="11"/>
        <color rgb="FFFF0000"/>
        <rFont val="Calibri"/>
        <family val="2"/>
        <scheme val="minor"/>
      </rPr>
      <t>/ (If Control stat field Y (Dispute End) is sent, Dispute end Transaction amount information will be sent in this field.)</t>
    </r>
  </si>
  <si>
    <r>
      <t xml:space="preserve">Source Currency Code Transaction . [ISO 4217 number]  </t>
    </r>
    <r>
      <rPr>
        <sz val="11"/>
        <color rgb="FFFF0000"/>
        <rFont val="Calibri"/>
        <family val="2"/>
        <scheme val="minor"/>
      </rPr>
      <t xml:space="preserve"> / (If Control stat field Y (Dispute End) is sent, Dispute end Transaction currency information will be sent in this field.)</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USD :</t>
    </r>
    <r>
      <rPr>
        <b/>
        <sz val="11"/>
        <color theme="1"/>
        <rFont val="Calibri"/>
        <family val="2"/>
        <scheme val="minor"/>
      </rPr>
      <t xml:space="preserve"> 840 ; </t>
    </r>
    <r>
      <rPr>
        <sz val="11"/>
        <color theme="1"/>
        <rFont val="Calibri"/>
        <family val="2"/>
        <scheme val="minor"/>
      </rPr>
      <t>EUR :</t>
    </r>
    <r>
      <rPr>
        <b/>
        <sz val="11"/>
        <color theme="1"/>
        <rFont val="Calibri"/>
        <family val="2"/>
        <scheme val="minor"/>
      </rPr>
      <t xml:space="preserve"> 978 ; </t>
    </r>
    <r>
      <rPr>
        <sz val="11"/>
        <color theme="1"/>
        <rFont val="Calibri"/>
        <family val="2"/>
        <scheme val="minor"/>
      </rPr>
      <t>TRY :</t>
    </r>
    <r>
      <rPr>
        <b/>
        <sz val="11"/>
        <color theme="1"/>
        <rFont val="Calibri"/>
        <family val="2"/>
        <scheme val="minor"/>
      </rPr>
      <t xml:space="preserve"> 949 </t>
    </r>
    <r>
      <rPr>
        <sz val="11"/>
        <color theme="1"/>
        <rFont val="Calibri"/>
        <family val="2"/>
        <scheme val="minor"/>
      </rPr>
      <t>…</t>
    </r>
  </si>
  <si>
    <r>
      <t xml:space="preserve">Destination Amount Transaction </t>
    </r>
    <r>
      <rPr>
        <sz val="11"/>
        <color rgb="FFFF0000"/>
        <rFont val="Calibri"/>
        <family val="2"/>
        <scheme val="minor"/>
      </rPr>
      <t>/ (If Control stat field Y (Dispute End) is sent, Net Amount that is sum of credit and debit calculation)</t>
    </r>
  </si>
  <si>
    <r>
      <t xml:space="preserve">Destination Currency Code Transaction [ISO 4217 number] </t>
    </r>
    <r>
      <rPr>
        <sz val="11"/>
        <color rgb="FFFF0000"/>
        <rFont val="Calibri"/>
        <family val="2"/>
        <scheme val="minor"/>
      </rPr>
      <t xml:space="preserve"> / (If Control stat field Y (Dispute End) is sent, Net Currency that is sum of credit and debit calculation)</t>
    </r>
    <r>
      <rPr>
        <sz val="11"/>
        <color theme="1"/>
        <rFont val="Calibri"/>
        <family val="2"/>
        <scheme val="minor"/>
      </rPr>
      <t xml:space="preserve">
 USD : </t>
    </r>
    <r>
      <rPr>
        <b/>
        <sz val="11"/>
        <color theme="1"/>
        <rFont val="Calibri"/>
        <family val="2"/>
        <scheme val="minor"/>
      </rPr>
      <t>840</t>
    </r>
    <r>
      <rPr>
        <sz val="11"/>
        <color theme="1"/>
        <rFont val="Calibri"/>
        <family val="2"/>
        <scheme val="minor"/>
      </rPr>
      <t xml:space="preserve"> ; EUR : </t>
    </r>
    <r>
      <rPr>
        <b/>
        <sz val="11"/>
        <color theme="1"/>
        <rFont val="Calibri"/>
        <family val="2"/>
        <scheme val="minor"/>
      </rPr>
      <t>978</t>
    </r>
    <r>
      <rPr>
        <sz val="11"/>
        <color theme="1"/>
        <rFont val="Calibri"/>
        <family val="2"/>
        <scheme val="minor"/>
      </rPr>
      <t xml:space="preserve"> ; TRY : </t>
    </r>
    <r>
      <rPr>
        <b/>
        <sz val="11"/>
        <color theme="1"/>
        <rFont val="Calibri"/>
        <family val="2"/>
        <scheme val="minor"/>
      </rPr>
      <t>949</t>
    </r>
    <r>
      <rPr>
        <sz val="11"/>
        <color theme="1"/>
        <rFont val="Calibri"/>
        <family val="2"/>
        <scheme val="minor"/>
      </rPr>
      <t xml:space="preserve"> …</t>
    </r>
  </si>
  <si>
    <t>V006</t>
  </si>
  <si>
    <t>The Length and Type values of the Provizyon Code field have been changed. A new value has been added to the Control Stat field for completed Dispute operations.</t>
  </si>
  <si>
    <t>FILE VERSION NUMBER (V0006)</t>
  </si>
  <si>
    <t>13/4/2023</t>
  </si>
  <si>
    <t>Reimbursement Amount on Clearing Transaction (The field has a sensitivity of 8 digits)</t>
  </si>
  <si>
    <t>V007</t>
  </si>
  <si>
    <t>Reason code field has been added to the reserve field in MSC, VISA, BKM registration models.</t>
  </si>
  <si>
    <t>Message Reason Code Charge-back, Re-presentment And Reversal Records Of These Transactions Are The Reason Code Of The Relevant Transaction And Determined By The Payment System</t>
  </si>
  <si>
    <t>Reason Code</t>
  </si>
  <si>
    <t>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</si>
</sst>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0000"/>
      <name val="Calibri"/>
      <family val="2"/>
      <scheme val="minor"/>
    </font>
    <font>
      <sz val="12"/>
      <color rgb="FFFF0000"/>
      <name val="Calibri"/>
      <family val="2"/>
    </font>
    <font>
      <b/>
      <sz val="11"/>
      <color theme="1"/>
      <name val="Calibri"/>
      <family val="2"/>
      <scheme val="minor"/>
    </font>
    <font>
      <i/>
      <sz val="11"/>
      <color theme="1"/>
      <name val="Calibri"/>
      <family val="2"/>
      <scheme val="minor"/>
    </font>
    <font>
      <b/>
      <sz val="16"/>
      <color theme="0"/>
      <name val="Calibri"/>
      <family val="2"/>
      <scheme val="minor"/>
    </font>
    <font>
      <i/>
      <sz val="12"/>
      <color theme="1"/>
      <name val="Calibri"/>
      <family val="2"/>
      <scheme val="minor"/>
    </font>
    <font>
      <sz val="11"/>
      <color rgb="FFFF0000"/>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2" tint="-0.499984740745262"/>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0" fillId="0" borderId="2" xfId="0" applyBorder="1"/>
    <xf numFmtId="0" fontId="2" fillId="0" borderId="0" xfId="0" applyFont="1" applyAlignment="1">
      <alignment vertical="center"/>
    </xf>
    <xf numFmtId="0" fontId="0" fillId="0" borderId="1" xfId="0" applyBorder="1"/>
    <xf numFmtId="14" fontId="0" fillId="0" borderId="1" xfId="0" applyNumberFormat="1" applyBorder="1"/>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vertical="center" wrapText="1"/>
    </xf>
    <xf numFmtId="0" fontId="6" fillId="5" borderId="0" xfId="0" applyFont="1" applyFill="1"/>
    <xf numFmtId="0" fontId="3" fillId="0" borderId="1" xfId="0" applyFont="1" applyBorder="1"/>
    <xf numFmtId="0" fontId="3" fillId="0" borderId="1" xfId="0" applyFont="1" applyBorder="1" applyAlignment="1">
      <alignment vertical="center"/>
    </xf>
    <xf numFmtId="14" fontId="0" fillId="0" borderId="1" xfId="0" applyNumberFormat="1" applyBorder="1" applyAlignment="1">
      <alignment vertical="center"/>
    </xf>
    <xf numFmtId="14" fontId="0" fillId="0" borderId="1" xfId="0" applyNumberFormat="1" applyBorder="1" applyAlignment="1">
      <alignment horizontal="right"/>
    </xf>
    <xf numFmtId="0" fontId="7" fillId="6" borderId="1" xfId="0" applyFont="1" applyFill="1" applyBorder="1" applyAlignment="1">
      <alignment vertical="center"/>
    </xf>
    <xf numFmtId="0" fontId="7" fillId="6" borderId="1" xfId="0" applyFont="1" applyFill="1" applyBorder="1" applyAlignment="1">
      <alignment wrapText="1"/>
    </xf>
    <xf numFmtId="0" fontId="9" fillId="0" borderId="1" xfId="0" applyFont="1" applyBorder="1" applyAlignment="1">
      <alignment vertical="center"/>
    </xf>
    <xf numFmtId="0" fontId="9" fillId="0" borderId="1" xfId="0" applyFont="1" applyBorder="1"/>
    <xf numFmtId="0" fontId="9" fillId="0" borderId="1" xfId="0" applyFont="1" applyBorder="1" applyAlignment="1">
      <alignment wrapText="1"/>
    </xf>
    <xf numFmtId="0" fontId="5" fillId="4" borderId="0" xfId="0" applyFont="1" applyFill="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cellXfs>
  <cellStyles count="1">
    <cellStyle name="Normal" xfId="0" builtinId="0"/>
  </cellStyles>
  <dxfs count="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fill>
        <patternFill patternType="solid">
          <fgColor indexed="64"/>
          <bgColor theme="2"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EC7A9-7F10-4108-BD98-014249A660BF}" name="Table1" displayName="Table1" ref="A2:C12" totalsRowShown="0" headerRowDxfId="3">
  <autoFilter ref="A2:C12" xr:uid="{C93C5337-AC1B-49C5-9155-0AC1C14602D9}"/>
  <tableColumns count="3">
    <tableColumn id="1" xr3:uid="{9E247AB7-10E3-473F-B320-46AF6F2C37E2}" name="VersionNumber" dataDxfId="2"/>
    <tableColumn id="2" xr3:uid="{82CD0458-188F-44D4-B1F0-ADDFE918BFD4}" name="Date" dataDxfId="1"/>
    <tableColumn id="3" xr3:uid="{D712BAE8-2FCB-442D-A6EC-03504A24E4D5}" name="Explanation"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8EAF-6181-4567-BBB8-2F1DBDFCFE77}">
  <dimension ref="A1:C12"/>
  <sheetViews>
    <sheetView tabSelected="1" workbookViewId="0">
      <selection activeCell="B9" sqref="B9"/>
    </sheetView>
  </sheetViews>
  <sheetFormatPr defaultRowHeight="15" x14ac:dyDescent="0.25"/>
  <cols>
    <col min="1" max="1" width="30.28515625" customWidth="1"/>
    <col min="2" max="2" width="32.5703125" customWidth="1"/>
    <col min="3" max="3" width="81.42578125" customWidth="1"/>
  </cols>
  <sheetData>
    <row r="1" spans="1:3" ht="21" x14ac:dyDescent="0.35">
      <c r="A1" s="20" t="s">
        <v>87</v>
      </c>
      <c r="B1" s="20"/>
      <c r="C1" s="20"/>
    </row>
    <row r="2" spans="1:3" ht="15.75" x14ac:dyDescent="0.25">
      <c r="A2" s="10" t="s">
        <v>88</v>
      </c>
      <c r="B2" s="10" t="s">
        <v>89</v>
      </c>
      <c r="C2" s="10" t="s">
        <v>90</v>
      </c>
    </row>
    <row r="3" spans="1:3" x14ac:dyDescent="0.25">
      <c r="A3" s="11" t="s">
        <v>91</v>
      </c>
      <c r="B3" s="5">
        <v>44220</v>
      </c>
      <c r="C3" s="4" t="s">
        <v>92</v>
      </c>
    </row>
    <row r="4" spans="1:3" ht="30" x14ac:dyDescent="0.25">
      <c r="A4" s="12" t="s">
        <v>93</v>
      </c>
      <c r="B4" s="13">
        <v>44265</v>
      </c>
      <c r="C4" s="9" t="s">
        <v>94</v>
      </c>
    </row>
    <row r="5" spans="1:3" x14ac:dyDescent="0.25">
      <c r="A5" s="11" t="s">
        <v>95</v>
      </c>
      <c r="B5" s="14" t="s">
        <v>96</v>
      </c>
      <c r="C5" s="4" t="s">
        <v>97</v>
      </c>
    </row>
    <row r="6" spans="1:3" ht="60" x14ac:dyDescent="0.25">
      <c r="A6" s="12" t="s">
        <v>105</v>
      </c>
      <c r="B6" s="13">
        <v>44899</v>
      </c>
      <c r="C6" s="7" t="s">
        <v>111</v>
      </c>
    </row>
    <row r="7" spans="1:3" x14ac:dyDescent="0.25">
      <c r="A7" s="12" t="s">
        <v>112</v>
      </c>
      <c r="B7" s="5">
        <v>45233</v>
      </c>
      <c r="C7" s="4" t="s">
        <v>113</v>
      </c>
    </row>
    <row r="8" spans="1:3" ht="30" x14ac:dyDescent="0.25">
      <c r="A8" s="12" t="s">
        <v>122</v>
      </c>
      <c r="B8" s="14" t="s">
        <v>125</v>
      </c>
      <c r="C8" s="7" t="s">
        <v>123</v>
      </c>
    </row>
    <row r="9" spans="1:3" x14ac:dyDescent="0.25">
      <c r="A9" s="11" t="s">
        <v>127</v>
      </c>
      <c r="B9" s="14" t="s">
        <v>131</v>
      </c>
      <c r="C9" s="4" t="s">
        <v>128</v>
      </c>
    </row>
    <row r="10" spans="1:3" x14ac:dyDescent="0.25">
      <c r="A10" s="4"/>
      <c r="B10" s="5"/>
      <c r="C10" s="4"/>
    </row>
    <row r="11" spans="1:3" x14ac:dyDescent="0.25">
      <c r="A11" s="4"/>
      <c r="B11" s="5"/>
      <c r="C11" s="4"/>
    </row>
    <row r="12" spans="1:3" x14ac:dyDescent="0.25">
      <c r="A12" s="4"/>
      <c r="B12" s="5"/>
      <c r="C12" s="4"/>
    </row>
  </sheetData>
  <mergeCells count="1">
    <mergeCell ref="A1:C1"/>
  </mergeCells>
  <phoneticPr fontId="8"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B74D-0B20-49DF-85AB-10A5BB7882E7}">
  <dimension ref="A1:G45"/>
  <sheetViews>
    <sheetView workbookViewId="0">
      <pane ySplit="1" topLeftCell="A5" activePane="bottomLeft" state="frozen"/>
      <selection pane="bottomLeft" activeCell="A15" sqref="A15:F16"/>
    </sheetView>
  </sheetViews>
  <sheetFormatPr defaultRowHeight="15" x14ac:dyDescent="0.25"/>
  <cols>
    <col min="1" max="1" width="25.140625" bestFit="1" customWidth="1"/>
    <col min="5" max="5" width="21.42578125" customWidth="1"/>
    <col min="6" max="6" width="104.28515625" bestFit="1" customWidth="1"/>
    <col min="7" max="7" width="27.5703125" bestFit="1" customWidth="1"/>
  </cols>
  <sheetData>
    <row r="1" spans="1:6" x14ac:dyDescent="0.25">
      <c r="A1" s="1" t="s">
        <v>0</v>
      </c>
      <c r="B1" s="1" t="s">
        <v>1</v>
      </c>
      <c r="C1" s="1" t="s">
        <v>2</v>
      </c>
      <c r="D1" s="1" t="s">
        <v>3</v>
      </c>
      <c r="E1" s="1" t="s">
        <v>4</v>
      </c>
      <c r="F1" s="1" t="s">
        <v>5</v>
      </c>
    </row>
    <row r="2" spans="1:6" x14ac:dyDescent="0.25">
      <c r="A2" s="21" t="s">
        <v>6</v>
      </c>
      <c r="B2" s="21"/>
      <c r="C2" s="21"/>
      <c r="D2" s="21"/>
      <c r="E2" s="21"/>
      <c r="F2" s="21"/>
    </row>
    <row r="3" spans="1:6" x14ac:dyDescent="0.25">
      <c r="A3" s="4" t="s">
        <v>76</v>
      </c>
      <c r="B3" s="4">
        <v>1</v>
      </c>
      <c r="C3" s="4">
        <v>1</v>
      </c>
      <c r="D3" s="4" t="s">
        <v>7</v>
      </c>
      <c r="E3" s="4" t="s">
        <v>8</v>
      </c>
      <c r="F3" s="4" t="s">
        <v>9</v>
      </c>
    </row>
    <row r="4" spans="1:6" x14ac:dyDescent="0.25">
      <c r="A4" s="4" t="s">
        <v>75</v>
      </c>
      <c r="B4" s="4">
        <v>2</v>
      </c>
      <c r="C4" s="4">
        <v>8</v>
      </c>
      <c r="D4" s="4" t="s">
        <v>7</v>
      </c>
      <c r="E4" s="4" t="s">
        <v>10</v>
      </c>
      <c r="F4" s="5" t="s">
        <v>11</v>
      </c>
    </row>
    <row r="5" spans="1:6" x14ac:dyDescent="0.25">
      <c r="A5" s="4" t="s">
        <v>74</v>
      </c>
      <c r="B5" s="4">
        <v>10</v>
      </c>
      <c r="C5" s="4">
        <v>16</v>
      </c>
      <c r="D5" s="6" t="s">
        <v>15</v>
      </c>
      <c r="E5" s="4" t="s">
        <v>34</v>
      </c>
      <c r="F5" s="4" t="s">
        <v>12</v>
      </c>
    </row>
    <row r="6" spans="1:6" x14ac:dyDescent="0.25">
      <c r="A6" s="4" t="s">
        <v>73</v>
      </c>
      <c r="B6" s="4">
        <v>26</v>
      </c>
      <c r="C6" s="4">
        <v>12</v>
      </c>
      <c r="D6" s="6" t="s">
        <v>7</v>
      </c>
      <c r="E6" s="6" t="s">
        <v>110</v>
      </c>
      <c r="F6" s="4" t="s">
        <v>124</v>
      </c>
    </row>
    <row r="7" spans="1:6" x14ac:dyDescent="0.25">
      <c r="A7" s="22" t="s">
        <v>13</v>
      </c>
      <c r="B7" s="22"/>
      <c r="C7" s="22"/>
      <c r="D7" s="22"/>
      <c r="E7" s="22"/>
      <c r="F7" s="22"/>
    </row>
    <row r="8" spans="1:6" ht="105" x14ac:dyDescent="0.25">
      <c r="A8" s="6" t="s">
        <v>52</v>
      </c>
      <c r="B8" s="6">
        <v>1</v>
      </c>
      <c r="C8" s="6">
        <v>1</v>
      </c>
      <c r="D8" s="6" t="s">
        <v>7</v>
      </c>
      <c r="E8" s="6" t="s">
        <v>110</v>
      </c>
      <c r="F8" s="7" t="s">
        <v>98</v>
      </c>
    </row>
    <row r="9" spans="1:6" x14ac:dyDescent="0.25">
      <c r="A9" s="6" t="s">
        <v>53</v>
      </c>
      <c r="B9" s="6">
        <f t="shared" ref="B9:B32" si="0">B8+C8</f>
        <v>2</v>
      </c>
      <c r="C9" s="6">
        <v>8</v>
      </c>
      <c r="D9" s="6" t="s">
        <v>7</v>
      </c>
      <c r="E9" s="6" t="s">
        <v>110</v>
      </c>
      <c r="F9" s="4" t="s">
        <v>50</v>
      </c>
    </row>
    <row r="10" spans="1:6" ht="45" x14ac:dyDescent="0.25">
      <c r="A10" s="6" t="s">
        <v>54</v>
      </c>
      <c r="B10" s="6">
        <f t="shared" si="0"/>
        <v>10</v>
      </c>
      <c r="C10" s="6">
        <v>1</v>
      </c>
      <c r="D10" s="6" t="s">
        <v>7</v>
      </c>
      <c r="E10" s="6" t="s">
        <v>110</v>
      </c>
      <c r="F10" s="7" t="s">
        <v>37</v>
      </c>
    </row>
    <row r="11" spans="1:6" ht="30" x14ac:dyDescent="0.25">
      <c r="A11" s="6" t="s">
        <v>51</v>
      </c>
      <c r="B11" s="6">
        <f t="shared" si="0"/>
        <v>11</v>
      </c>
      <c r="C11" s="6">
        <v>16</v>
      </c>
      <c r="D11" s="6" t="s">
        <v>15</v>
      </c>
      <c r="E11" s="6" t="s">
        <v>34</v>
      </c>
      <c r="F11" s="7" t="s">
        <v>86</v>
      </c>
    </row>
    <row r="12" spans="1:6" x14ac:dyDescent="0.25">
      <c r="A12" s="6" t="s">
        <v>55</v>
      </c>
      <c r="B12" s="6">
        <f t="shared" si="0"/>
        <v>27</v>
      </c>
      <c r="C12" s="6">
        <v>16</v>
      </c>
      <c r="D12" s="6" t="s">
        <v>15</v>
      </c>
      <c r="E12" s="6" t="s">
        <v>34</v>
      </c>
      <c r="F12" s="4" t="s">
        <v>36</v>
      </c>
    </row>
    <row r="13" spans="1:6" ht="30" x14ac:dyDescent="0.25">
      <c r="A13" s="6" t="s">
        <v>56</v>
      </c>
      <c r="B13" s="6">
        <f t="shared" si="0"/>
        <v>43</v>
      </c>
      <c r="C13" s="6">
        <v>12</v>
      </c>
      <c r="D13" s="6" t="s">
        <v>7</v>
      </c>
      <c r="E13" s="6" t="s">
        <v>110</v>
      </c>
      <c r="F13" s="7" t="s">
        <v>38</v>
      </c>
    </row>
    <row r="14" spans="1:6" ht="30" x14ac:dyDescent="0.25">
      <c r="A14" s="6" t="s">
        <v>57</v>
      </c>
      <c r="B14" s="6">
        <f t="shared" si="0"/>
        <v>55</v>
      </c>
      <c r="C14" s="6">
        <v>23</v>
      </c>
      <c r="D14" s="6" t="s">
        <v>7</v>
      </c>
      <c r="E14" s="6" t="s">
        <v>110</v>
      </c>
      <c r="F14" s="7" t="s">
        <v>45</v>
      </c>
    </row>
    <row r="15" spans="1:6" ht="30" x14ac:dyDescent="0.25">
      <c r="A15" s="15" t="s">
        <v>130</v>
      </c>
      <c r="B15" s="15">
        <v>78</v>
      </c>
      <c r="C15" s="15">
        <v>4</v>
      </c>
      <c r="D15" s="15" t="s">
        <v>7</v>
      </c>
      <c r="E15" s="15" t="s">
        <v>110</v>
      </c>
      <c r="F15" s="16" t="s">
        <v>129</v>
      </c>
    </row>
    <row r="16" spans="1:6" x14ac:dyDescent="0.25">
      <c r="A16" s="15" t="s">
        <v>116</v>
      </c>
      <c r="B16" s="15">
        <v>82</v>
      </c>
      <c r="C16" s="15">
        <v>4</v>
      </c>
      <c r="D16" s="15" t="s">
        <v>7</v>
      </c>
      <c r="E16" s="15" t="s">
        <v>110</v>
      </c>
      <c r="F16" s="16" t="s">
        <v>116</v>
      </c>
    </row>
    <row r="17" spans="1:7" x14ac:dyDescent="0.25">
      <c r="A17" s="17" t="s">
        <v>58</v>
      </c>
      <c r="B17" s="17">
        <v>86</v>
      </c>
      <c r="C17" s="17">
        <v>8</v>
      </c>
      <c r="D17" s="17" t="s">
        <v>7</v>
      </c>
      <c r="E17" s="17" t="s">
        <v>110</v>
      </c>
      <c r="F17" s="18" t="s">
        <v>39</v>
      </c>
    </row>
    <row r="18" spans="1:7" x14ac:dyDescent="0.25">
      <c r="A18" s="6" t="s">
        <v>59</v>
      </c>
      <c r="B18" s="6">
        <f t="shared" si="0"/>
        <v>94</v>
      </c>
      <c r="C18" s="6">
        <v>19</v>
      </c>
      <c r="D18" s="6" t="s">
        <v>7</v>
      </c>
      <c r="E18" s="6" t="s">
        <v>110</v>
      </c>
      <c r="F18" s="4" t="s">
        <v>42</v>
      </c>
    </row>
    <row r="19" spans="1:7" ht="75" x14ac:dyDescent="0.25">
      <c r="A19" s="6" t="s">
        <v>60</v>
      </c>
      <c r="B19" s="6">
        <f t="shared" si="0"/>
        <v>113</v>
      </c>
      <c r="C19" s="6">
        <v>1</v>
      </c>
      <c r="D19" s="6" t="s">
        <v>7</v>
      </c>
      <c r="E19" s="6" t="s">
        <v>110</v>
      </c>
      <c r="F19" s="7" t="s">
        <v>40</v>
      </c>
    </row>
    <row r="20" spans="1:7" x14ac:dyDescent="0.25">
      <c r="A20" s="6" t="s">
        <v>61</v>
      </c>
      <c r="B20" s="6">
        <f t="shared" si="0"/>
        <v>114</v>
      </c>
      <c r="C20" s="6">
        <v>4</v>
      </c>
      <c r="D20" s="6" t="s">
        <v>7</v>
      </c>
      <c r="E20" s="6" t="s">
        <v>110</v>
      </c>
      <c r="F20" s="4" t="s">
        <v>46</v>
      </c>
    </row>
    <row r="21" spans="1:7" x14ac:dyDescent="0.25">
      <c r="A21" s="6" t="s">
        <v>62</v>
      </c>
      <c r="B21" s="6">
        <f t="shared" si="0"/>
        <v>118</v>
      </c>
      <c r="C21" s="6">
        <v>4</v>
      </c>
      <c r="D21" s="6" t="s">
        <v>7</v>
      </c>
      <c r="E21" s="6" t="s">
        <v>110</v>
      </c>
      <c r="F21" s="4" t="s">
        <v>32</v>
      </c>
      <c r="G21" t="s">
        <v>33</v>
      </c>
    </row>
    <row r="22" spans="1:7" x14ac:dyDescent="0.25">
      <c r="A22" s="6" t="s">
        <v>63</v>
      </c>
      <c r="B22" s="6">
        <f t="shared" si="0"/>
        <v>122</v>
      </c>
      <c r="C22" s="6">
        <v>3</v>
      </c>
      <c r="D22" s="6" t="s">
        <v>7</v>
      </c>
      <c r="E22" s="6" t="s">
        <v>110</v>
      </c>
      <c r="F22" s="4" t="s">
        <v>43</v>
      </c>
    </row>
    <row r="23" spans="1:7" ht="30" x14ac:dyDescent="0.25">
      <c r="A23" s="6" t="s">
        <v>64</v>
      </c>
      <c r="B23" s="6">
        <f t="shared" si="0"/>
        <v>125</v>
      </c>
      <c r="C23" s="6">
        <v>6</v>
      </c>
      <c r="D23" s="6" t="s">
        <v>7</v>
      </c>
      <c r="E23" s="6" t="s">
        <v>110</v>
      </c>
      <c r="F23" s="7" t="s">
        <v>47</v>
      </c>
    </row>
    <row r="24" spans="1:7" ht="375" x14ac:dyDescent="0.25">
      <c r="A24" s="6" t="s">
        <v>65</v>
      </c>
      <c r="B24" s="6">
        <f t="shared" si="0"/>
        <v>131</v>
      </c>
      <c r="C24" s="6">
        <v>1</v>
      </c>
      <c r="D24" s="6" t="s">
        <v>7</v>
      </c>
      <c r="E24" s="6" t="s">
        <v>110</v>
      </c>
      <c r="F24" s="8" t="s">
        <v>41</v>
      </c>
    </row>
    <row r="25" spans="1:7" ht="108" customHeight="1" x14ac:dyDescent="0.25">
      <c r="A25" s="6" t="s">
        <v>66</v>
      </c>
      <c r="B25" s="6">
        <f t="shared" si="0"/>
        <v>132</v>
      </c>
      <c r="C25" s="6">
        <v>1</v>
      </c>
      <c r="D25" s="6" t="s">
        <v>7</v>
      </c>
      <c r="E25" s="6" t="s">
        <v>110</v>
      </c>
      <c r="F25" s="9" t="s">
        <v>117</v>
      </c>
    </row>
    <row r="26" spans="1:7" ht="30" x14ac:dyDescent="0.25">
      <c r="A26" s="6" t="s">
        <v>68</v>
      </c>
      <c r="B26" s="6">
        <f t="shared" si="0"/>
        <v>133</v>
      </c>
      <c r="C26" s="6">
        <v>17</v>
      </c>
      <c r="D26" s="6" t="s">
        <v>15</v>
      </c>
      <c r="E26" s="6" t="s">
        <v>34</v>
      </c>
      <c r="F26" s="7" t="s">
        <v>118</v>
      </c>
    </row>
    <row r="27" spans="1:7" ht="45" x14ac:dyDescent="0.25">
      <c r="A27" s="6" t="s">
        <v>67</v>
      </c>
      <c r="B27" s="6">
        <f t="shared" si="0"/>
        <v>150</v>
      </c>
      <c r="C27" s="6">
        <v>3</v>
      </c>
      <c r="D27" s="6" t="s">
        <v>15</v>
      </c>
      <c r="E27" s="6" t="s">
        <v>34</v>
      </c>
      <c r="F27" s="7" t="s">
        <v>119</v>
      </c>
    </row>
    <row r="28" spans="1:7" ht="30" x14ac:dyDescent="0.25">
      <c r="A28" s="6" t="s">
        <v>69</v>
      </c>
      <c r="B28" s="6">
        <f t="shared" si="0"/>
        <v>153</v>
      </c>
      <c r="C28" s="6">
        <v>17</v>
      </c>
      <c r="D28" s="6" t="s">
        <v>15</v>
      </c>
      <c r="E28" s="6" t="s">
        <v>34</v>
      </c>
      <c r="F28" s="7" t="s">
        <v>120</v>
      </c>
    </row>
    <row r="29" spans="1:7" ht="45" x14ac:dyDescent="0.25">
      <c r="A29" s="6" t="s">
        <v>70</v>
      </c>
      <c r="B29" s="6">
        <f t="shared" si="0"/>
        <v>170</v>
      </c>
      <c r="C29" s="6">
        <v>3</v>
      </c>
      <c r="D29" s="6" t="s">
        <v>15</v>
      </c>
      <c r="E29" s="6" t="s">
        <v>34</v>
      </c>
      <c r="F29" s="7" t="s">
        <v>121</v>
      </c>
    </row>
    <row r="30" spans="1:7" x14ac:dyDescent="0.25">
      <c r="A30" s="6" t="s">
        <v>71</v>
      </c>
      <c r="B30" s="6">
        <f t="shared" si="0"/>
        <v>173</v>
      </c>
      <c r="C30" s="6">
        <v>17</v>
      </c>
      <c r="D30" s="6" t="s">
        <v>15</v>
      </c>
      <c r="E30" s="6" t="s">
        <v>34</v>
      </c>
      <c r="F30" s="7" t="s">
        <v>24</v>
      </c>
    </row>
    <row r="31" spans="1:7" x14ac:dyDescent="0.25">
      <c r="A31" s="6" t="s">
        <v>84</v>
      </c>
      <c r="B31" s="6">
        <f t="shared" si="0"/>
        <v>190</v>
      </c>
      <c r="C31" s="6">
        <v>17</v>
      </c>
      <c r="D31" s="6" t="s">
        <v>15</v>
      </c>
      <c r="E31" s="6" t="s">
        <v>34</v>
      </c>
      <c r="F31" s="4" t="s">
        <v>126</v>
      </c>
    </row>
    <row r="32" spans="1:7" x14ac:dyDescent="0.25">
      <c r="A32" s="6" t="s">
        <v>85</v>
      </c>
      <c r="B32" s="6">
        <f t="shared" si="0"/>
        <v>207</v>
      </c>
      <c r="C32" s="6">
        <v>2</v>
      </c>
      <c r="D32" s="6" t="s">
        <v>7</v>
      </c>
      <c r="E32" s="6" t="s">
        <v>110</v>
      </c>
      <c r="F32" s="4" t="s">
        <v>44</v>
      </c>
    </row>
    <row r="33" spans="1:6" ht="30" x14ac:dyDescent="0.25">
      <c r="A33" s="6" t="s">
        <v>72</v>
      </c>
      <c r="B33" s="6">
        <f>B32+C32</f>
        <v>209</v>
      </c>
      <c r="C33" s="6">
        <v>6</v>
      </c>
      <c r="D33" s="6" t="s">
        <v>15</v>
      </c>
      <c r="E33" s="6" t="s">
        <v>34</v>
      </c>
      <c r="F33" s="7" t="s">
        <v>48</v>
      </c>
    </row>
    <row r="34" spans="1:6" x14ac:dyDescent="0.25">
      <c r="A34" s="6" t="s">
        <v>99</v>
      </c>
      <c r="B34" s="6">
        <f>B33+C33</f>
        <v>215</v>
      </c>
      <c r="C34" s="6">
        <v>13</v>
      </c>
      <c r="D34" s="6" t="s">
        <v>7</v>
      </c>
      <c r="E34" s="6" t="s">
        <v>110</v>
      </c>
      <c r="F34" s="7" t="s">
        <v>101</v>
      </c>
    </row>
    <row r="35" spans="1:6" x14ac:dyDescent="0.25">
      <c r="A35" s="6" t="s">
        <v>100</v>
      </c>
      <c r="B35" s="6">
        <f>B34+C34</f>
        <v>228</v>
      </c>
      <c r="C35" s="6">
        <v>25</v>
      </c>
      <c r="D35" s="6" t="s">
        <v>7</v>
      </c>
      <c r="E35" s="6" t="s">
        <v>110</v>
      </c>
      <c r="F35" s="7" t="s">
        <v>102</v>
      </c>
    </row>
    <row r="36" spans="1:6" ht="30" x14ac:dyDescent="0.25">
      <c r="A36" s="6" t="s">
        <v>103</v>
      </c>
      <c r="B36" s="6">
        <f>B35+C35</f>
        <v>253</v>
      </c>
      <c r="C36" s="6">
        <v>15</v>
      </c>
      <c r="D36" s="6" t="s">
        <v>7</v>
      </c>
      <c r="E36" s="6" t="s">
        <v>110</v>
      </c>
      <c r="F36" s="7" t="s">
        <v>104</v>
      </c>
    </row>
    <row r="37" spans="1:6" x14ac:dyDescent="0.25">
      <c r="A37" s="6" t="s">
        <v>106</v>
      </c>
      <c r="B37" s="6">
        <v>268</v>
      </c>
      <c r="C37" s="6">
        <v>8</v>
      </c>
      <c r="D37" s="6" t="s">
        <v>15</v>
      </c>
      <c r="E37" s="6" t="s">
        <v>34</v>
      </c>
      <c r="F37" s="7" t="s">
        <v>107</v>
      </c>
    </row>
    <row r="38" spans="1:6" x14ac:dyDescent="0.25">
      <c r="A38" s="6" t="s">
        <v>108</v>
      </c>
      <c r="B38" s="6">
        <v>276</v>
      </c>
      <c r="C38" s="6">
        <v>6</v>
      </c>
      <c r="D38" s="6" t="s">
        <v>15</v>
      </c>
      <c r="E38" s="6" t="s">
        <v>34</v>
      </c>
      <c r="F38" s="7" t="s">
        <v>109</v>
      </c>
    </row>
    <row r="39" spans="1:6" x14ac:dyDescent="0.25">
      <c r="A39" s="17" t="s">
        <v>114</v>
      </c>
      <c r="B39" s="17">
        <v>282</v>
      </c>
      <c r="C39" s="17">
        <v>50</v>
      </c>
      <c r="D39" s="17" t="s">
        <v>7</v>
      </c>
      <c r="E39" s="17" t="s">
        <v>110</v>
      </c>
      <c r="F39" s="19" t="s">
        <v>115</v>
      </c>
    </row>
    <row r="40" spans="1:6" x14ac:dyDescent="0.25">
      <c r="A40" s="23" t="s">
        <v>25</v>
      </c>
      <c r="B40" s="24"/>
      <c r="C40" s="24"/>
      <c r="D40" s="24"/>
      <c r="E40" s="24"/>
      <c r="F40" s="25"/>
    </row>
    <row r="41" spans="1:6" x14ac:dyDescent="0.25">
      <c r="A41" s="4" t="s">
        <v>82</v>
      </c>
      <c r="B41" s="4">
        <v>1</v>
      </c>
      <c r="C41" s="4">
        <v>1</v>
      </c>
      <c r="D41" s="4" t="s">
        <v>7</v>
      </c>
      <c r="E41" s="4" t="s">
        <v>26</v>
      </c>
      <c r="F41" s="4" t="s">
        <v>27</v>
      </c>
    </row>
    <row r="42" spans="1:6" x14ac:dyDescent="0.25">
      <c r="A42" s="4" t="s">
        <v>75</v>
      </c>
      <c r="B42" s="4">
        <v>2</v>
      </c>
      <c r="C42" s="4">
        <v>8</v>
      </c>
      <c r="D42" s="4" t="s">
        <v>7</v>
      </c>
      <c r="E42" s="4" t="s">
        <v>10</v>
      </c>
      <c r="F42" s="5" t="s">
        <v>11</v>
      </c>
    </row>
    <row r="43" spans="1:6" x14ac:dyDescent="0.25">
      <c r="A43" s="4" t="s">
        <v>77</v>
      </c>
      <c r="B43" s="4">
        <v>10</v>
      </c>
      <c r="C43" s="4">
        <v>10</v>
      </c>
      <c r="D43" s="6" t="s">
        <v>15</v>
      </c>
      <c r="E43" s="4" t="s">
        <v>34</v>
      </c>
      <c r="F43" s="4" t="s">
        <v>28</v>
      </c>
    </row>
    <row r="45" spans="1:6" x14ac:dyDescent="0.25">
      <c r="F45" s="2"/>
    </row>
  </sheetData>
  <mergeCells count="3">
    <mergeCell ref="A2:F2"/>
    <mergeCell ref="A7:F7"/>
    <mergeCell ref="A40:F40"/>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0B31-FD70-4B52-A1E8-83667D4DB129}">
  <dimension ref="A1:G48"/>
  <sheetViews>
    <sheetView workbookViewId="0">
      <pane ySplit="1" topLeftCell="A2" activePane="bottomLeft" state="frozen"/>
      <selection pane="bottomLeft" activeCell="A15" sqref="A15:F16"/>
    </sheetView>
  </sheetViews>
  <sheetFormatPr defaultRowHeight="15" x14ac:dyDescent="0.25"/>
  <cols>
    <col min="1" max="1" width="25.140625" bestFit="1" customWidth="1"/>
    <col min="5" max="5" width="21.42578125" customWidth="1"/>
    <col min="6" max="6" width="107.140625" bestFit="1" customWidth="1"/>
    <col min="7" max="7" width="27.5703125" bestFit="1" customWidth="1"/>
  </cols>
  <sheetData>
    <row r="1" spans="1:6" x14ac:dyDescent="0.25">
      <c r="A1" s="1" t="s">
        <v>0</v>
      </c>
      <c r="B1" s="1" t="s">
        <v>1</v>
      </c>
      <c r="C1" s="1" t="s">
        <v>2</v>
      </c>
      <c r="D1" s="1" t="s">
        <v>3</v>
      </c>
      <c r="E1" s="1" t="s">
        <v>4</v>
      </c>
      <c r="F1" s="1" t="s">
        <v>5</v>
      </c>
    </row>
    <row r="2" spans="1:6" x14ac:dyDescent="0.25">
      <c r="A2" s="21" t="s">
        <v>6</v>
      </c>
      <c r="B2" s="21"/>
      <c r="C2" s="21"/>
      <c r="D2" s="21"/>
      <c r="E2" s="21"/>
      <c r="F2" s="21"/>
    </row>
    <row r="3" spans="1:6" x14ac:dyDescent="0.25">
      <c r="A3" s="4" t="s">
        <v>76</v>
      </c>
      <c r="B3" s="4">
        <v>1</v>
      </c>
      <c r="C3" s="4">
        <v>1</v>
      </c>
      <c r="D3" s="4" t="s">
        <v>7</v>
      </c>
      <c r="E3" s="4" t="s">
        <v>8</v>
      </c>
      <c r="F3" s="4" t="s">
        <v>9</v>
      </c>
    </row>
    <row r="4" spans="1:6" x14ac:dyDescent="0.25">
      <c r="A4" s="4" t="s">
        <v>75</v>
      </c>
      <c r="B4" s="4">
        <v>2</v>
      </c>
      <c r="C4" s="4">
        <v>8</v>
      </c>
      <c r="D4" s="4" t="s">
        <v>7</v>
      </c>
      <c r="E4" s="4" t="s">
        <v>10</v>
      </c>
      <c r="F4" s="5" t="s">
        <v>11</v>
      </c>
    </row>
    <row r="5" spans="1:6" x14ac:dyDescent="0.25">
      <c r="A5" s="4" t="s">
        <v>74</v>
      </c>
      <c r="B5" s="4">
        <v>10</v>
      </c>
      <c r="C5" s="4">
        <v>16</v>
      </c>
      <c r="D5" s="6" t="s">
        <v>15</v>
      </c>
      <c r="E5" s="6" t="s">
        <v>34</v>
      </c>
      <c r="F5" s="4" t="s">
        <v>12</v>
      </c>
    </row>
    <row r="6" spans="1:6" x14ac:dyDescent="0.25">
      <c r="A6" s="4" t="s">
        <v>73</v>
      </c>
      <c r="B6" s="4">
        <v>26</v>
      </c>
      <c r="C6" s="4">
        <v>12</v>
      </c>
      <c r="D6" s="6" t="s">
        <v>7</v>
      </c>
      <c r="E6" s="6" t="s">
        <v>110</v>
      </c>
      <c r="F6" s="4" t="s">
        <v>124</v>
      </c>
    </row>
    <row r="7" spans="1:6" x14ac:dyDescent="0.25">
      <c r="A7" s="22" t="s">
        <v>13</v>
      </c>
      <c r="B7" s="22"/>
      <c r="C7" s="22"/>
      <c r="D7" s="22"/>
      <c r="E7" s="22"/>
      <c r="F7" s="22"/>
    </row>
    <row r="8" spans="1:6" ht="90" x14ac:dyDescent="0.25">
      <c r="A8" s="6" t="s">
        <v>78</v>
      </c>
      <c r="B8" s="6">
        <v>1</v>
      </c>
      <c r="C8" s="6">
        <v>1</v>
      </c>
      <c r="D8" s="6" t="s">
        <v>7</v>
      </c>
      <c r="E8" s="6" t="s">
        <v>110</v>
      </c>
      <c r="F8" s="7" t="s">
        <v>35</v>
      </c>
    </row>
    <row r="9" spans="1:6" x14ac:dyDescent="0.25">
      <c r="A9" s="6" t="s">
        <v>53</v>
      </c>
      <c r="B9" s="6">
        <v>2</v>
      </c>
      <c r="C9" s="6">
        <v>8</v>
      </c>
      <c r="D9" s="6" t="s">
        <v>7</v>
      </c>
      <c r="E9" s="6" t="s">
        <v>110</v>
      </c>
      <c r="F9" s="4" t="s">
        <v>50</v>
      </c>
    </row>
    <row r="10" spans="1:6" ht="45" x14ac:dyDescent="0.25">
      <c r="A10" s="6" t="s">
        <v>54</v>
      </c>
      <c r="B10" s="6">
        <f>B9+C9</f>
        <v>10</v>
      </c>
      <c r="C10" s="6">
        <v>1</v>
      </c>
      <c r="D10" s="6" t="s">
        <v>7</v>
      </c>
      <c r="E10" s="6" t="s">
        <v>110</v>
      </c>
      <c r="F10" s="7" t="s">
        <v>37</v>
      </c>
    </row>
    <row r="11" spans="1:6" ht="16.899999999999999" customHeight="1" x14ac:dyDescent="0.25">
      <c r="A11" s="6" t="s">
        <v>51</v>
      </c>
      <c r="B11" s="6">
        <f t="shared" ref="B11:B35" si="0">B10+C10</f>
        <v>11</v>
      </c>
      <c r="C11" s="6">
        <v>16</v>
      </c>
      <c r="D11" s="6" t="s">
        <v>15</v>
      </c>
      <c r="E11" s="6" t="s">
        <v>34</v>
      </c>
      <c r="F11" s="7" t="s">
        <v>86</v>
      </c>
    </row>
    <row r="12" spans="1:6" x14ac:dyDescent="0.25">
      <c r="A12" s="6" t="s">
        <v>14</v>
      </c>
      <c r="B12" s="6">
        <f t="shared" si="0"/>
        <v>27</v>
      </c>
      <c r="C12" s="6">
        <v>16</v>
      </c>
      <c r="D12" s="6" t="s">
        <v>15</v>
      </c>
      <c r="E12" s="6" t="s">
        <v>34</v>
      </c>
      <c r="F12" s="4" t="s">
        <v>36</v>
      </c>
    </row>
    <row r="13" spans="1:6" ht="30" x14ac:dyDescent="0.25">
      <c r="A13" s="6" t="s">
        <v>19</v>
      </c>
      <c r="B13" s="6">
        <f t="shared" si="0"/>
        <v>43</v>
      </c>
      <c r="C13" s="6">
        <v>12</v>
      </c>
      <c r="D13" s="6" t="s">
        <v>7</v>
      </c>
      <c r="E13" s="6" t="s">
        <v>110</v>
      </c>
      <c r="F13" s="7" t="s">
        <v>38</v>
      </c>
    </row>
    <row r="14" spans="1:6" ht="30" x14ac:dyDescent="0.25">
      <c r="A14" s="6" t="s">
        <v>18</v>
      </c>
      <c r="B14" s="6">
        <f t="shared" si="0"/>
        <v>55</v>
      </c>
      <c r="C14" s="6">
        <v>23</v>
      </c>
      <c r="D14" s="6" t="s">
        <v>7</v>
      </c>
      <c r="E14" s="6" t="s">
        <v>110</v>
      </c>
      <c r="F14" s="7" t="s">
        <v>49</v>
      </c>
    </row>
    <row r="15" spans="1:6" ht="30" x14ac:dyDescent="0.25">
      <c r="A15" s="15" t="s">
        <v>130</v>
      </c>
      <c r="B15" s="15">
        <v>78</v>
      </c>
      <c r="C15" s="15">
        <v>4</v>
      </c>
      <c r="D15" s="15" t="s">
        <v>7</v>
      </c>
      <c r="E15" s="15" t="s">
        <v>110</v>
      </c>
      <c r="F15" s="16" t="s">
        <v>129</v>
      </c>
    </row>
    <row r="16" spans="1:6" x14ac:dyDescent="0.25">
      <c r="A16" s="15" t="s">
        <v>116</v>
      </c>
      <c r="B16" s="15">
        <v>82</v>
      </c>
      <c r="C16" s="15">
        <v>4</v>
      </c>
      <c r="D16" s="15" t="s">
        <v>7</v>
      </c>
      <c r="E16" s="15" t="s">
        <v>110</v>
      </c>
      <c r="F16" s="16" t="s">
        <v>116</v>
      </c>
    </row>
    <row r="17" spans="1:6" x14ac:dyDescent="0.25">
      <c r="A17" s="17" t="s">
        <v>58</v>
      </c>
      <c r="B17" s="17">
        <v>86</v>
      </c>
      <c r="C17" s="17">
        <v>8</v>
      </c>
      <c r="D17" s="17" t="s">
        <v>7</v>
      </c>
      <c r="E17" s="17" t="s">
        <v>110</v>
      </c>
      <c r="F17" s="18" t="s">
        <v>39</v>
      </c>
    </row>
    <row r="18" spans="1:6" x14ac:dyDescent="0.25">
      <c r="A18" s="6" t="s">
        <v>59</v>
      </c>
      <c r="B18" s="6">
        <f t="shared" si="0"/>
        <v>94</v>
      </c>
      <c r="C18" s="6">
        <v>19</v>
      </c>
      <c r="D18" s="6" t="s">
        <v>7</v>
      </c>
      <c r="E18" s="6" t="s">
        <v>110</v>
      </c>
      <c r="F18" s="4" t="s">
        <v>42</v>
      </c>
    </row>
    <row r="19" spans="1:6" ht="75" x14ac:dyDescent="0.25">
      <c r="A19" s="6" t="s">
        <v>60</v>
      </c>
      <c r="B19" s="6">
        <f t="shared" si="0"/>
        <v>113</v>
      </c>
      <c r="C19" s="6">
        <v>1</v>
      </c>
      <c r="D19" s="6" t="s">
        <v>7</v>
      </c>
      <c r="E19" s="6" t="s">
        <v>110</v>
      </c>
      <c r="F19" s="7" t="s">
        <v>40</v>
      </c>
    </row>
    <row r="20" spans="1:6" x14ac:dyDescent="0.25">
      <c r="A20" s="6" t="s">
        <v>61</v>
      </c>
      <c r="B20" s="6">
        <f t="shared" si="0"/>
        <v>114</v>
      </c>
      <c r="C20" s="6">
        <v>4</v>
      </c>
      <c r="D20" s="6" t="s">
        <v>7</v>
      </c>
      <c r="E20" s="6" t="s">
        <v>110</v>
      </c>
      <c r="F20" s="4" t="s">
        <v>21</v>
      </c>
    </row>
    <row r="21" spans="1:6" x14ac:dyDescent="0.25">
      <c r="A21" s="6" t="s">
        <v>16</v>
      </c>
      <c r="B21" s="6">
        <f t="shared" si="0"/>
        <v>118</v>
      </c>
      <c r="C21" s="6">
        <v>4</v>
      </c>
      <c r="D21" s="6" t="s">
        <v>7</v>
      </c>
      <c r="E21" s="6" t="s">
        <v>110</v>
      </c>
      <c r="F21" s="4" t="s">
        <v>32</v>
      </c>
    </row>
    <row r="22" spans="1:6" x14ac:dyDescent="0.25">
      <c r="A22" s="6" t="s">
        <v>63</v>
      </c>
      <c r="B22" s="6">
        <f t="shared" si="0"/>
        <v>122</v>
      </c>
      <c r="C22" s="6">
        <v>3</v>
      </c>
      <c r="D22" s="6" t="s">
        <v>7</v>
      </c>
      <c r="E22" s="6" t="s">
        <v>110</v>
      </c>
      <c r="F22" s="4" t="s">
        <v>43</v>
      </c>
    </row>
    <row r="23" spans="1:6" ht="30" x14ac:dyDescent="0.25">
      <c r="A23" s="6" t="s">
        <v>64</v>
      </c>
      <c r="B23" s="6">
        <f t="shared" si="0"/>
        <v>125</v>
      </c>
      <c r="C23" s="6">
        <v>6</v>
      </c>
      <c r="D23" s="6" t="s">
        <v>7</v>
      </c>
      <c r="E23" s="6" t="s">
        <v>110</v>
      </c>
      <c r="F23" s="7" t="s">
        <v>17</v>
      </c>
    </row>
    <row r="24" spans="1:6" x14ac:dyDescent="0.25">
      <c r="A24" s="6" t="s">
        <v>79</v>
      </c>
      <c r="B24" s="6">
        <f t="shared" si="0"/>
        <v>131</v>
      </c>
      <c r="C24" s="6">
        <v>1</v>
      </c>
      <c r="D24" s="6" t="s">
        <v>7</v>
      </c>
      <c r="E24" s="6" t="s">
        <v>110</v>
      </c>
      <c r="F24" s="4" t="s">
        <v>20</v>
      </c>
    </row>
    <row r="25" spans="1:6" ht="375" x14ac:dyDescent="0.25">
      <c r="A25" s="6" t="s">
        <v>65</v>
      </c>
      <c r="B25" s="6">
        <f t="shared" si="0"/>
        <v>132</v>
      </c>
      <c r="C25" s="6">
        <v>1</v>
      </c>
      <c r="D25" s="6" t="s">
        <v>7</v>
      </c>
      <c r="E25" s="6" t="s">
        <v>110</v>
      </c>
      <c r="F25" s="8" t="s">
        <v>41</v>
      </c>
    </row>
    <row r="26" spans="1:6" ht="105" x14ac:dyDescent="0.25">
      <c r="A26" s="6" t="s">
        <v>66</v>
      </c>
      <c r="B26" s="6">
        <f t="shared" si="0"/>
        <v>133</v>
      </c>
      <c r="C26" s="6">
        <v>1</v>
      </c>
      <c r="D26" s="6" t="s">
        <v>7</v>
      </c>
      <c r="E26" s="6" t="s">
        <v>110</v>
      </c>
      <c r="F26" s="9" t="s">
        <v>117</v>
      </c>
    </row>
    <row r="27" spans="1:6" ht="30" x14ac:dyDescent="0.25">
      <c r="A27" s="6" t="s">
        <v>68</v>
      </c>
      <c r="B27" s="6">
        <f t="shared" si="0"/>
        <v>134</v>
      </c>
      <c r="C27" s="6">
        <v>17</v>
      </c>
      <c r="D27" s="6" t="s">
        <v>15</v>
      </c>
      <c r="E27" s="6" t="s">
        <v>34</v>
      </c>
      <c r="F27" s="7" t="s">
        <v>118</v>
      </c>
    </row>
    <row r="28" spans="1:6" ht="45" x14ac:dyDescent="0.25">
      <c r="A28" s="6" t="s">
        <v>67</v>
      </c>
      <c r="B28" s="6">
        <f t="shared" si="0"/>
        <v>151</v>
      </c>
      <c r="C28" s="6">
        <v>3</v>
      </c>
      <c r="D28" s="6" t="s">
        <v>15</v>
      </c>
      <c r="E28" s="6" t="s">
        <v>34</v>
      </c>
      <c r="F28" s="7" t="s">
        <v>119</v>
      </c>
    </row>
    <row r="29" spans="1:6" ht="30" x14ac:dyDescent="0.25">
      <c r="A29" s="6" t="s">
        <v>69</v>
      </c>
      <c r="B29" s="6">
        <f t="shared" si="0"/>
        <v>154</v>
      </c>
      <c r="C29" s="6">
        <v>17</v>
      </c>
      <c r="D29" s="6" t="s">
        <v>15</v>
      </c>
      <c r="E29" s="6" t="s">
        <v>34</v>
      </c>
      <c r="F29" s="7" t="s">
        <v>120</v>
      </c>
    </row>
    <row r="30" spans="1:6" ht="45" x14ac:dyDescent="0.25">
      <c r="A30" s="6" t="s">
        <v>70</v>
      </c>
      <c r="B30" s="6">
        <f t="shared" si="0"/>
        <v>171</v>
      </c>
      <c r="C30" s="6">
        <v>3</v>
      </c>
      <c r="D30" s="6" t="s">
        <v>15</v>
      </c>
      <c r="E30" s="6" t="s">
        <v>34</v>
      </c>
      <c r="F30" s="7" t="s">
        <v>121</v>
      </c>
    </row>
    <row r="31" spans="1:6" x14ac:dyDescent="0.25">
      <c r="A31" s="6" t="s">
        <v>71</v>
      </c>
      <c r="B31" s="6">
        <f t="shared" si="0"/>
        <v>174</v>
      </c>
      <c r="C31" s="6">
        <v>12</v>
      </c>
      <c r="D31" s="6" t="s">
        <v>15</v>
      </c>
      <c r="E31" s="6" t="s">
        <v>34</v>
      </c>
      <c r="F31" s="7" t="s">
        <v>24</v>
      </c>
    </row>
    <row r="32" spans="1:6" x14ac:dyDescent="0.25">
      <c r="A32" s="6" t="s">
        <v>84</v>
      </c>
      <c r="B32" s="6">
        <f t="shared" si="0"/>
        <v>186</v>
      </c>
      <c r="C32" s="6">
        <v>17</v>
      </c>
      <c r="D32" s="6" t="s">
        <v>15</v>
      </c>
      <c r="E32" s="6" t="s">
        <v>34</v>
      </c>
      <c r="F32" s="4" t="s">
        <v>126</v>
      </c>
    </row>
    <row r="33" spans="1:7" x14ac:dyDescent="0.25">
      <c r="A33" s="6" t="s">
        <v>85</v>
      </c>
      <c r="B33" s="6">
        <f t="shared" si="0"/>
        <v>203</v>
      </c>
      <c r="C33" s="6">
        <v>2</v>
      </c>
      <c r="D33" s="6" t="s">
        <v>7</v>
      </c>
      <c r="E33" s="6" t="s">
        <v>110</v>
      </c>
      <c r="F33" s="4" t="s">
        <v>44</v>
      </c>
    </row>
    <row r="34" spans="1:7" ht="43.15" customHeight="1" x14ac:dyDescent="0.25">
      <c r="A34" s="6" t="s">
        <v>80</v>
      </c>
      <c r="B34" s="6">
        <f t="shared" si="0"/>
        <v>205</v>
      </c>
      <c r="C34" s="6">
        <v>5</v>
      </c>
      <c r="D34" s="6" t="s">
        <v>7</v>
      </c>
      <c r="E34" s="6" t="s">
        <v>110</v>
      </c>
      <c r="F34" s="7" t="s">
        <v>22</v>
      </c>
      <c r="G34" s="3"/>
    </row>
    <row r="35" spans="1:7" ht="30" x14ac:dyDescent="0.25">
      <c r="A35" s="6" t="s">
        <v>81</v>
      </c>
      <c r="B35" s="6">
        <f t="shared" si="0"/>
        <v>210</v>
      </c>
      <c r="C35" s="6">
        <v>15</v>
      </c>
      <c r="D35" s="6" t="s">
        <v>7</v>
      </c>
      <c r="E35" s="6" t="s">
        <v>110</v>
      </c>
      <c r="F35" s="7" t="s">
        <v>23</v>
      </c>
      <c r="G35" s="3"/>
    </row>
    <row r="36" spans="1:7" ht="30" x14ac:dyDescent="0.25">
      <c r="A36" s="6" t="s">
        <v>72</v>
      </c>
      <c r="B36" s="6">
        <f>B35+C35</f>
        <v>225</v>
      </c>
      <c r="C36" s="6">
        <v>6</v>
      </c>
      <c r="D36" s="6" t="s">
        <v>15</v>
      </c>
      <c r="E36" s="6" t="s">
        <v>34</v>
      </c>
      <c r="F36" s="7" t="s">
        <v>48</v>
      </c>
    </row>
    <row r="37" spans="1:7" x14ac:dyDescent="0.25">
      <c r="A37" s="6" t="s">
        <v>99</v>
      </c>
      <c r="B37" s="6">
        <f>B36+C36</f>
        <v>231</v>
      </c>
      <c r="C37" s="6">
        <v>13</v>
      </c>
      <c r="D37" s="6" t="s">
        <v>7</v>
      </c>
      <c r="E37" s="6" t="s">
        <v>110</v>
      </c>
      <c r="F37" s="7" t="s">
        <v>101</v>
      </c>
    </row>
    <row r="38" spans="1:7" x14ac:dyDescent="0.25">
      <c r="A38" s="6" t="s">
        <v>100</v>
      </c>
      <c r="B38" s="6">
        <f>B37+C37</f>
        <v>244</v>
      </c>
      <c r="C38" s="6">
        <v>25</v>
      </c>
      <c r="D38" s="6" t="s">
        <v>7</v>
      </c>
      <c r="E38" s="6" t="s">
        <v>110</v>
      </c>
      <c r="F38" s="7" t="s">
        <v>102</v>
      </c>
    </row>
    <row r="39" spans="1:7" ht="30" x14ac:dyDescent="0.25">
      <c r="A39" s="6" t="s">
        <v>103</v>
      </c>
      <c r="B39" s="6">
        <f>B38+C38</f>
        <v>269</v>
      </c>
      <c r="C39" s="6">
        <v>15</v>
      </c>
      <c r="D39" s="6" t="s">
        <v>7</v>
      </c>
      <c r="E39" s="6" t="s">
        <v>110</v>
      </c>
      <c r="F39" s="7" t="s">
        <v>104</v>
      </c>
    </row>
    <row r="40" spans="1:7" x14ac:dyDescent="0.25">
      <c r="A40" s="6" t="s">
        <v>106</v>
      </c>
      <c r="B40" s="6">
        <v>284</v>
      </c>
      <c r="C40" s="6">
        <v>8</v>
      </c>
      <c r="D40" s="6" t="s">
        <v>15</v>
      </c>
      <c r="E40" s="6" t="s">
        <v>34</v>
      </c>
      <c r="F40" s="7" t="s">
        <v>107</v>
      </c>
    </row>
    <row r="41" spans="1:7" x14ac:dyDescent="0.25">
      <c r="A41" s="6" t="s">
        <v>108</v>
      </c>
      <c r="B41" s="6">
        <v>292</v>
      </c>
      <c r="C41" s="6">
        <v>6</v>
      </c>
      <c r="D41" s="6" t="s">
        <v>15</v>
      </c>
      <c r="E41" s="6" t="s">
        <v>34</v>
      </c>
      <c r="F41" s="7" t="s">
        <v>109</v>
      </c>
    </row>
    <row r="42" spans="1:7" x14ac:dyDescent="0.25">
      <c r="A42" s="17" t="s">
        <v>114</v>
      </c>
      <c r="B42" s="17">
        <v>298</v>
      </c>
      <c r="C42" s="17">
        <v>50</v>
      </c>
      <c r="D42" s="17" t="s">
        <v>7</v>
      </c>
      <c r="E42" s="17" t="s">
        <v>110</v>
      </c>
      <c r="F42" s="19" t="s">
        <v>115</v>
      </c>
    </row>
    <row r="43" spans="1:7" x14ac:dyDescent="0.25">
      <c r="A43" s="23" t="s">
        <v>25</v>
      </c>
      <c r="B43" s="24"/>
      <c r="C43" s="24"/>
      <c r="D43" s="24"/>
      <c r="E43" s="24"/>
      <c r="F43" s="25"/>
    </row>
    <row r="44" spans="1:7" x14ac:dyDescent="0.25">
      <c r="A44" s="4" t="s">
        <v>82</v>
      </c>
      <c r="B44" s="4">
        <v>1</v>
      </c>
      <c r="C44" s="4">
        <v>1</v>
      </c>
      <c r="D44" s="4" t="s">
        <v>7</v>
      </c>
      <c r="E44" s="4" t="s">
        <v>26</v>
      </c>
      <c r="F44" s="4" t="s">
        <v>27</v>
      </c>
    </row>
    <row r="45" spans="1:7" x14ac:dyDescent="0.25">
      <c r="A45" s="4" t="s">
        <v>75</v>
      </c>
      <c r="B45" s="4">
        <v>2</v>
      </c>
      <c r="C45" s="4">
        <v>8</v>
      </c>
      <c r="D45" s="4" t="s">
        <v>7</v>
      </c>
      <c r="E45" s="4" t="s">
        <v>10</v>
      </c>
      <c r="F45" s="5" t="s">
        <v>11</v>
      </c>
    </row>
    <row r="46" spans="1:7" x14ac:dyDescent="0.25">
      <c r="A46" s="4" t="s">
        <v>77</v>
      </c>
      <c r="B46" s="4">
        <v>10</v>
      </c>
      <c r="C46" s="4">
        <v>10</v>
      </c>
      <c r="D46" s="6" t="s">
        <v>15</v>
      </c>
      <c r="E46" s="4" t="s">
        <v>34</v>
      </c>
      <c r="F46" s="4" t="s">
        <v>28</v>
      </c>
    </row>
    <row r="48" spans="1:7" x14ac:dyDescent="0.25">
      <c r="F48" s="2"/>
    </row>
  </sheetData>
  <mergeCells count="3">
    <mergeCell ref="A2:F2"/>
    <mergeCell ref="A7:F7"/>
    <mergeCell ref="A43:F43"/>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CFC6-E88E-497A-A225-F8A082E452D4}">
  <dimension ref="A1:F44"/>
  <sheetViews>
    <sheetView zoomScaleNormal="100" workbookViewId="0">
      <pane ySplit="1" topLeftCell="A2" activePane="bottomLeft" state="frozen"/>
      <selection pane="bottomLeft" activeCell="A15" sqref="A15:F16"/>
    </sheetView>
  </sheetViews>
  <sheetFormatPr defaultRowHeight="15" x14ac:dyDescent="0.25"/>
  <cols>
    <col min="1" max="1" width="25.140625" bestFit="1" customWidth="1"/>
    <col min="5" max="5" width="21.42578125" customWidth="1"/>
    <col min="6" max="6" width="104.7109375" customWidth="1"/>
    <col min="7" max="7" width="27.5703125" bestFit="1" customWidth="1"/>
  </cols>
  <sheetData>
    <row r="1" spans="1:6" x14ac:dyDescent="0.25">
      <c r="A1" s="1" t="s">
        <v>0</v>
      </c>
      <c r="B1" s="1" t="s">
        <v>1</v>
      </c>
      <c r="C1" s="1" t="s">
        <v>2</v>
      </c>
      <c r="D1" s="1" t="s">
        <v>3</v>
      </c>
      <c r="E1" s="1" t="s">
        <v>4</v>
      </c>
      <c r="F1" s="1" t="s">
        <v>5</v>
      </c>
    </row>
    <row r="2" spans="1:6" x14ac:dyDescent="0.25">
      <c r="A2" s="21" t="s">
        <v>6</v>
      </c>
      <c r="B2" s="21"/>
      <c r="C2" s="21"/>
      <c r="D2" s="21"/>
      <c r="E2" s="21"/>
      <c r="F2" s="21"/>
    </row>
    <row r="3" spans="1:6" x14ac:dyDescent="0.25">
      <c r="A3" s="4" t="s">
        <v>76</v>
      </c>
      <c r="B3" s="4">
        <v>1</v>
      </c>
      <c r="C3" s="4">
        <v>1</v>
      </c>
      <c r="D3" s="4" t="s">
        <v>7</v>
      </c>
      <c r="E3" s="4" t="s">
        <v>8</v>
      </c>
      <c r="F3" s="4" t="s">
        <v>9</v>
      </c>
    </row>
    <row r="4" spans="1:6" x14ac:dyDescent="0.25">
      <c r="A4" s="4" t="s">
        <v>75</v>
      </c>
      <c r="B4" s="4">
        <v>2</v>
      </c>
      <c r="C4" s="4">
        <v>8</v>
      </c>
      <c r="D4" s="4" t="s">
        <v>7</v>
      </c>
      <c r="E4" s="4" t="s">
        <v>10</v>
      </c>
      <c r="F4" s="5" t="s">
        <v>11</v>
      </c>
    </row>
    <row r="5" spans="1:6" x14ac:dyDescent="0.25">
      <c r="A5" s="4" t="s">
        <v>74</v>
      </c>
      <c r="B5" s="4">
        <v>10</v>
      </c>
      <c r="C5" s="4">
        <v>16</v>
      </c>
      <c r="D5" s="6" t="s">
        <v>15</v>
      </c>
      <c r="E5" s="6" t="s">
        <v>34</v>
      </c>
      <c r="F5" s="4" t="s">
        <v>12</v>
      </c>
    </row>
    <row r="6" spans="1:6" x14ac:dyDescent="0.25">
      <c r="A6" s="4" t="s">
        <v>73</v>
      </c>
      <c r="B6" s="4">
        <v>26</v>
      </c>
      <c r="C6" s="4">
        <v>12</v>
      </c>
      <c r="D6" s="6" t="s">
        <v>7</v>
      </c>
      <c r="E6" s="6" t="s">
        <v>110</v>
      </c>
      <c r="F6" s="4" t="s">
        <v>124</v>
      </c>
    </row>
    <row r="7" spans="1:6" x14ac:dyDescent="0.25">
      <c r="A7" s="22" t="s">
        <v>13</v>
      </c>
      <c r="B7" s="22"/>
      <c r="C7" s="22"/>
      <c r="D7" s="22"/>
      <c r="E7" s="22"/>
      <c r="F7" s="22"/>
    </row>
    <row r="8" spans="1:6" ht="90" x14ac:dyDescent="0.25">
      <c r="A8" s="6" t="s">
        <v>52</v>
      </c>
      <c r="B8" s="6">
        <v>1</v>
      </c>
      <c r="C8" s="6">
        <v>1</v>
      </c>
      <c r="D8" s="6" t="s">
        <v>7</v>
      </c>
      <c r="E8" s="6" t="s">
        <v>110</v>
      </c>
      <c r="F8" s="7" t="s">
        <v>35</v>
      </c>
    </row>
    <row r="9" spans="1:6" x14ac:dyDescent="0.25">
      <c r="A9" s="6" t="s">
        <v>53</v>
      </c>
      <c r="B9" s="6">
        <f>B8+C8</f>
        <v>2</v>
      </c>
      <c r="C9" s="6">
        <v>8</v>
      </c>
      <c r="D9" s="6" t="s">
        <v>7</v>
      </c>
      <c r="E9" s="6" t="s">
        <v>110</v>
      </c>
      <c r="F9" s="4" t="s">
        <v>50</v>
      </c>
    </row>
    <row r="10" spans="1:6" ht="45" x14ac:dyDescent="0.25">
      <c r="A10" s="6" t="s">
        <v>54</v>
      </c>
      <c r="B10" s="6">
        <f>B9+C9</f>
        <v>10</v>
      </c>
      <c r="C10" s="6">
        <v>1</v>
      </c>
      <c r="D10" s="6" t="s">
        <v>7</v>
      </c>
      <c r="E10" s="6" t="s">
        <v>110</v>
      </c>
      <c r="F10" s="7" t="s">
        <v>37</v>
      </c>
    </row>
    <row r="11" spans="1:6" ht="18" customHeight="1" x14ac:dyDescent="0.25">
      <c r="A11" s="6" t="s">
        <v>51</v>
      </c>
      <c r="B11" s="6">
        <f t="shared" ref="B11:B31" si="0">B10+C10</f>
        <v>11</v>
      </c>
      <c r="C11" s="6">
        <v>16</v>
      </c>
      <c r="D11" s="6" t="s">
        <v>15</v>
      </c>
      <c r="E11" s="6" t="s">
        <v>34</v>
      </c>
      <c r="F11" s="7" t="s">
        <v>86</v>
      </c>
    </row>
    <row r="12" spans="1:6" x14ac:dyDescent="0.25">
      <c r="A12" s="6" t="s">
        <v>55</v>
      </c>
      <c r="B12" s="6">
        <f t="shared" si="0"/>
        <v>27</v>
      </c>
      <c r="C12" s="6">
        <v>16</v>
      </c>
      <c r="D12" s="6" t="s">
        <v>15</v>
      </c>
      <c r="E12" s="6" t="s">
        <v>34</v>
      </c>
      <c r="F12" s="4" t="s">
        <v>36</v>
      </c>
    </row>
    <row r="13" spans="1:6" ht="30" x14ac:dyDescent="0.25">
      <c r="A13" s="6" t="s">
        <v>19</v>
      </c>
      <c r="B13" s="6">
        <f t="shared" si="0"/>
        <v>43</v>
      </c>
      <c r="C13" s="6">
        <v>12</v>
      </c>
      <c r="D13" s="6" t="s">
        <v>7</v>
      </c>
      <c r="E13" s="6" t="s">
        <v>110</v>
      </c>
      <c r="F13" s="7" t="s">
        <v>38</v>
      </c>
    </row>
    <row r="14" spans="1:6" ht="30" x14ac:dyDescent="0.25">
      <c r="A14" s="6" t="s">
        <v>18</v>
      </c>
      <c r="B14" s="6">
        <f t="shared" si="0"/>
        <v>55</v>
      </c>
      <c r="C14" s="6">
        <v>23</v>
      </c>
      <c r="D14" s="6" t="s">
        <v>7</v>
      </c>
      <c r="E14" s="6" t="s">
        <v>110</v>
      </c>
      <c r="F14" s="7" t="s">
        <v>45</v>
      </c>
    </row>
    <row r="15" spans="1:6" ht="30" x14ac:dyDescent="0.25">
      <c r="A15" s="15" t="s">
        <v>130</v>
      </c>
      <c r="B15" s="15">
        <v>78</v>
      </c>
      <c r="C15" s="15">
        <v>4</v>
      </c>
      <c r="D15" s="15" t="s">
        <v>7</v>
      </c>
      <c r="E15" s="15" t="s">
        <v>110</v>
      </c>
      <c r="F15" s="16" t="s">
        <v>129</v>
      </c>
    </row>
    <row r="16" spans="1:6" x14ac:dyDescent="0.25">
      <c r="A16" s="15" t="s">
        <v>116</v>
      </c>
      <c r="B16" s="15">
        <v>82</v>
      </c>
      <c r="C16" s="15">
        <v>4</v>
      </c>
      <c r="D16" s="15" t="s">
        <v>7</v>
      </c>
      <c r="E16" s="15" t="s">
        <v>110</v>
      </c>
      <c r="F16" s="16" t="s">
        <v>116</v>
      </c>
    </row>
    <row r="17" spans="1:6" x14ac:dyDescent="0.25">
      <c r="A17" s="17" t="s">
        <v>58</v>
      </c>
      <c r="B17" s="17">
        <v>86</v>
      </c>
      <c r="C17" s="17">
        <v>8</v>
      </c>
      <c r="D17" s="17" t="s">
        <v>7</v>
      </c>
      <c r="E17" s="17" t="s">
        <v>110</v>
      </c>
      <c r="F17" s="18" t="s">
        <v>39</v>
      </c>
    </row>
    <row r="18" spans="1:6" x14ac:dyDescent="0.25">
      <c r="A18" s="6" t="s">
        <v>59</v>
      </c>
      <c r="B18" s="6">
        <f t="shared" si="0"/>
        <v>94</v>
      </c>
      <c r="C18" s="6">
        <v>19</v>
      </c>
      <c r="D18" s="6" t="s">
        <v>7</v>
      </c>
      <c r="E18" s="6" t="s">
        <v>110</v>
      </c>
      <c r="F18" s="4" t="s">
        <v>42</v>
      </c>
    </row>
    <row r="19" spans="1:6" ht="75" x14ac:dyDescent="0.25">
      <c r="A19" s="6" t="s">
        <v>60</v>
      </c>
      <c r="B19" s="6">
        <f t="shared" si="0"/>
        <v>113</v>
      </c>
      <c r="C19" s="6">
        <v>1</v>
      </c>
      <c r="D19" s="6" t="s">
        <v>7</v>
      </c>
      <c r="E19" s="6" t="s">
        <v>110</v>
      </c>
      <c r="F19" s="7" t="s">
        <v>40</v>
      </c>
    </row>
    <row r="20" spans="1:6" x14ac:dyDescent="0.25">
      <c r="A20" s="6" t="s">
        <v>61</v>
      </c>
      <c r="B20" s="6">
        <f t="shared" si="0"/>
        <v>114</v>
      </c>
      <c r="C20" s="6">
        <v>4</v>
      </c>
      <c r="D20" s="6" t="s">
        <v>7</v>
      </c>
      <c r="E20" s="6" t="s">
        <v>110</v>
      </c>
      <c r="F20" s="4" t="s">
        <v>21</v>
      </c>
    </row>
    <row r="21" spans="1:6" x14ac:dyDescent="0.25">
      <c r="A21" s="4" t="s">
        <v>29</v>
      </c>
      <c r="B21" s="6">
        <f t="shared" si="0"/>
        <v>118</v>
      </c>
      <c r="C21" s="6">
        <v>2</v>
      </c>
      <c r="D21" s="4" t="s">
        <v>7</v>
      </c>
      <c r="E21" s="6" t="s">
        <v>110</v>
      </c>
      <c r="F21" s="4" t="s">
        <v>30</v>
      </c>
    </row>
    <row r="22" spans="1:6" ht="30" x14ac:dyDescent="0.25">
      <c r="A22" s="4" t="s">
        <v>83</v>
      </c>
      <c r="B22" s="6">
        <f t="shared" si="0"/>
        <v>120</v>
      </c>
      <c r="C22" s="6">
        <v>1</v>
      </c>
      <c r="D22" s="6" t="s">
        <v>7</v>
      </c>
      <c r="E22" s="6" t="s">
        <v>110</v>
      </c>
      <c r="F22" s="7" t="s">
        <v>31</v>
      </c>
    </row>
    <row r="23" spans="1:6" ht="375" x14ac:dyDescent="0.25">
      <c r="A23" s="6" t="s">
        <v>65</v>
      </c>
      <c r="B23" s="6">
        <f t="shared" si="0"/>
        <v>121</v>
      </c>
      <c r="C23" s="6">
        <v>1</v>
      </c>
      <c r="D23" s="6" t="s">
        <v>7</v>
      </c>
      <c r="E23" s="6" t="s">
        <v>110</v>
      </c>
      <c r="F23" s="8" t="s">
        <v>41</v>
      </c>
    </row>
    <row r="24" spans="1:6" ht="120" x14ac:dyDescent="0.25">
      <c r="A24" s="6" t="s">
        <v>66</v>
      </c>
      <c r="B24" s="6">
        <f t="shared" si="0"/>
        <v>122</v>
      </c>
      <c r="C24" s="6">
        <v>1</v>
      </c>
      <c r="D24" s="6" t="s">
        <v>7</v>
      </c>
      <c r="E24" s="6" t="s">
        <v>110</v>
      </c>
      <c r="F24" s="9" t="s">
        <v>117</v>
      </c>
    </row>
    <row r="25" spans="1:6" ht="30" x14ac:dyDescent="0.25">
      <c r="A25" s="6" t="s">
        <v>68</v>
      </c>
      <c r="B25" s="6">
        <f t="shared" si="0"/>
        <v>123</v>
      </c>
      <c r="C25" s="6">
        <v>17</v>
      </c>
      <c r="D25" s="6" t="s">
        <v>15</v>
      </c>
      <c r="E25" s="6" t="s">
        <v>34</v>
      </c>
      <c r="F25" s="7" t="s">
        <v>118</v>
      </c>
    </row>
    <row r="26" spans="1:6" ht="45" x14ac:dyDescent="0.25">
      <c r="A26" s="6" t="s">
        <v>67</v>
      </c>
      <c r="B26" s="6">
        <f t="shared" si="0"/>
        <v>140</v>
      </c>
      <c r="C26" s="6">
        <v>3</v>
      </c>
      <c r="D26" s="6" t="s">
        <v>15</v>
      </c>
      <c r="E26" s="6" t="s">
        <v>34</v>
      </c>
      <c r="F26" s="7" t="s">
        <v>119</v>
      </c>
    </row>
    <row r="27" spans="1:6" ht="30" x14ac:dyDescent="0.25">
      <c r="A27" s="6" t="s">
        <v>69</v>
      </c>
      <c r="B27" s="6">
        <f t="shared" si="0"/>
        <v>143</v>
      </c>
      <c r="C27" s="6">
        <v>17</v>
      </c>
      <c r="D27" s="6" t="s">
        <v>15</v>
      </c>
      <c r="E27" s="6" t="s">
        <v>34</v>
      </c>
      <c r="F27" s="7" t="s">
        <v>120</v>
      </c>
    </row>
    <row r="28" spans="1:6" ht="45" x14ac:dyDescent="0.25">
      <c r="A28" s="6" t="s">
        <v>70</v>
      </c>
      <c r="B28" s="6">
        <f t="shared" si="0"/>
        <v>160</v>
      </c>
      <c r="C28" s="6">
        <v>3</v>
      </c>
      <c r="D28" s="6" t="s">
        <v>15</v>
      </c>
      <c r="E28" s="6" t="s">
        <v>34</v>
      </c>
      <c r="F28" s="7" t="s">
        <v>121</v>
      </c>
    </row>
    <row r="29" spans="1:6" x14ac:dyDescent="0.25">
      <c r="A29" s="6" t="s">
        <v>71</v>
      </c>
      <c r="B29" s="6">
        <f t="shared" si="0"/>
        <v>163</v>
      </c>
      <c r="C29" s="6">
        <v>17</v>
      </c>
      <c r="D29" s="6" t="s">
        <v>15</v>
      </c>
      <c r="E29" s="6" t="s">
        <v>34</v>
      </c>
      <c r="F29" s="7" t="s">
        <v>24</v>
      </c>
    </row>
    <row r="30" spans="1:6" x14ac:dyDescent="0.25">
      <c r="A30" s="6" t="s">
        <v>84</v>
      </c>
      <c r="B30" s="6">
        <f t="shared" si="0"/>
        <v>180</v>
      </c>
      <c r="C30" s="6">
        <v>17</v>
      </c>
      <c r="D30" s="6" t="s">
        <v>15</v>
      </c>
      <c r="E30" s="6" t="s">
        <v>34</v>
      </c>
      <c r="F30" s="4" t="s">
        <v>126</v>
      </c>
    </row>
    <row r="31" spans="1:6" x14ac:dyDescent="0.25">
      <c r="A31" s="6" t="s">
        <v>85</v>
      </c>
      <c r="B31" s="6">
        <f t="shared" si="0"/>
        <v>197</v>
      </c>
      <c r="C31" s="6">
        <v>2</v>
      </c>
      <c r="D31" s="6" t="s">
        <v>7</v>
      </c>
      <c r="E31" s="6" t="s">
        <v>110</v>
      </c>
      <c r="F31" s="4" t="s">
        <v>44</v>
      </c>
    </row>
    <row r="32" spans="1:6" ht="30" x14ac:dyDescent="0.25">
      <c r="A32" s="6" t="s">
        <v>72</v>
      </c>
      <c r="B32" s="6">
        <f>B31+C31</f>
        <v>199</v>
      </c>
      <c r="C32" s="6">
        <v>6</v>
      </c>
      <c r="D32" s="6" t="s">
        <v>15</v>
      </c>
      <c r="E32" s="6" t="s">
        <v>34</v>
      </c>
      <c r="F32" s="7" t="s">
        <v>48</v>
      </c>
    </row>
    <row r="33" spans="1:6" x14ac:dyDescent="0.25">
      <c r="A33" s="6" t="s">
        <v>99</v>
      </c>
      <c r="B33" s="6">
        <f>B32+C32</f>
        <v>205</v>
      </c>
      <c r="C33" s="6">
        <v>13</v>
      </c>
      <c r="D33" s="6" t="s">
        <v>7</v>
      </c>
      <c r="E33" s="6" t="s">
        <v>110</v>
      </c>
      <c r="F33" s="7" t="s">
        <v>101</v>
      </c>
    </row>
    <row r="34" spans="1:6" x14ac:dyDescent="0.25">
      <c r="A34" s="6" t="s">
        <v>100</v>
      </c>
      <c r="B34" s="6">
        <f>B33+C33</f>
        <v>218</v>
      </c>
      <c r="C34" s="6">
        <v>25</v>
      </c>
      <c r="D34" s="6" t="s">
        <v>7</v>
      </c>
      <c r="E34" s="6" t="s">
        <v>110</v>
      </c>
      <c r="F34" s="7" t="s">
        <v>102</v>
      </c>
    </row>
    <row r="35" spans="1:6" ht="30" x14ac:dyDescent="0.25">
      <c r="A35" s="6" t="s">
        <v>103</v>
      </c>
      <c r="B35" s="6">
        <f>B34+C34</f>
        <v>243</v>
      </c>
      <c r="C35" s="6">
        <v>15</v>
      </c>
      <c r="D35" s="6" t="s">
        <v>7</v>
      </c>
      <c r="E35" s="6" t="s">
        <v>110</v>
      </c>
      <c r="F35" s="7" t="s">
        <v>104</v>
      </c>
    </row>
    <row r="36" spans="1:6" x14ac:dyDescent="0.25">
      <c r="A36" s="6" t="s">
        <v>106</v>
      </c>
      <c r="B36" s="6">
        <v>258</v>
      </c>
      <c r="C36" s="6">
        <v>8</v>
      </c>
      <c r="D36" s="6" t="s">
        <v>15</v>
      </c>
      <c r="E36" s="6" t="s">
        <v>34</v>
      </c>
      <c r="F36" s="7" t="s">
        <v>107</v>
      </c>
    </row>
    <row r="37" spans="1:6" x14ac:dyDescent="0.25">
      <c r="A37" s="6" t="s">
        <v>108</v>
      </c>
      <c r="B37" s="6">
        <v>266</v>
      </c>
      <c r="C37" s="6">
        <v>6</v>
      </c>
      <c r="D37" s="6" t="s">
        <v>15</v>
      </c>
      <c r="E37" s="6" t="s">
        <v>34</v>
      </c>
      <c r="F37" s="7" t="s">
        <v>109</v>
      </c>
    </row>
    <row r="38" spans="1:6" x14ac:dyDescent="0.25">
      <c r="A38" s="17" t="s">
        <v>114</v>
      </c>
      <c r="B38" s="17">
        <v>272</v>
      </c>
      <c r="C38" s="17">
        <v>50</v>
      </c>
      <c r="D38" s="17" t="s">
        <v>7</v>
      </c>
      <c r="E38" s="17" t="s">
        <v>110</v>
      </c>
      <c r="F38" s="19" t="s">
        <v>115</v>
      </c>
    </row>
    <row r="39" spans="1:6" x14ac:dyDescent="0.25">
      <c r="A39" s="23" t="s">
        <v>25</v>
      </c>
      <c r="B39" s="24"/>
      <c r="C39" s="24"/>
      <c r="D39" s="24"/>
      <c r="E39" s="24"/>
      <c r="F39" s="25"/>
    </row>
    <row r="40" spans="1:6" x14ac:dyDescent="0.25">
      <c r="A40" s="4" t="s">
        <v>76</v>
      </c>
      <c r="B40" s="4">
        <v>1</v>
      </c>
      <c r="C40" s="4">
        <v>1</v>
      </c>
      <c r="D40" s="4" t="s">
        <v>7</v>
      </c>
      <c r="E40" s="4" t="s">
        <v>26</v>
      </c>
      <c r="F40" s="4" t="s">
        <v>27</v>
      </c>
    </row>
    <row r="41" spans="1:6" x14ac:dyDescent="0.25">
      <c r="A41" s="4" t="s">
        <v>75</v>
      </c>
      <c r="B41" s="4">
        <v>2</v>
      </c>
      <c r="C41" s="4">
        <v>8</v>
      </c>
      <c r="D41" s="4" t="s">
        <v>7</v>
      </c>
      <c r="E41" s="4" t="s">
        <v>10</v>
      </c>
      <c r="F41" s="5" t="s">
        <v>11</v>
      </c>
    </row>
    <row r="42" spans="1:6" x14ac:dyDescent="0.25">
      <c r="A42" s="4" t="s">
        <v>77</v>
      </c>
      <c r="B42" s="4">
        <v>10</v>
      </c>
      <c r="C42" s="4">
        <v>10</v>
      </c>
      <c r="D42" s="6" t="s">
        <v>15</v>
      </c>
      <c r="E42" s="4" t="s">
        <v>34</v>
      </c>
      <c r="F42" s="4" t="s">
        <v>28</v>
      </c>
    </row>
    <row r="44" spans="1:6" x14ac:dyDescent="0.25">
      <c r="F44" s="2"/>
    </row>
  </sheetData>
  <mergeCells count="3">
    <mergeCell ref="A2:F2"/>
    <mergeCell ref="A7:F7"/>
    <mergeCell ref="A39:F39"/>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1196FBD707C74981883DBE3182FEF3" ma:contentTypeVersion="14" ma:contentTypeDescription="Create a new document." ma:contentTypeScope="" ma:versionID="8336078870ac196c04c2f0e3aef47b40">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159dd204c3b14853dac0ae247da97221"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7343AD-1FB8-499C-99F2-878EB2F76AE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884BCBD-BB6D-4209-934E-BBCE51353FDC}"/>
</file>

<file path=customXml/itemProps3.xml><?xml version="1.0" encoding="utf-8"?>
<ds:datastoreItem xmlns:ds="http://schemas.openxmlformats.org/officeDocument/2006/customXml" ds:itemID="{6FAED5BC-A15E-4DB3-BEFE-90FF7EF0E8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ReleaseNotes</vt:lpstr>
      <vt:lpstr>BKM</vt:lpstr>
      <vt:lpstr>MSC</vt:lpstr>
      <vt:lpstr>VISA</vt:lpstr>
    </vt:vector>
  </TitlesOfParts>
  <Manager/>
  <Company>Paycore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Cenk Cuneyt Ozkaraca</dc:creator>
  <cp:keywords/>
  <dc:description/>
  <cp:lastModifiedBy>Emre Sari</cp:lastModifiedBy>
  <cp:revision/>
  <dcterms:created xsi:type="dcterms:W3CDTF">2020-11-16T13:45:55Z</dcterms:created>
  <dcterms:modified xsi:type="dcterms:W3CDTF">2024-05-21T06:52:52Z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ies>
</file>